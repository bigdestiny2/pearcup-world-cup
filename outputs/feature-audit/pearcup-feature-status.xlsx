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ab665883b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5715cff1c1349ba"/>
    <x:sheet xmlns:r="http://schemas.openxmlformats.org/officeDocument/2006/relationships" name="User Stories" sheetId="2" r:id="R715e0a1e6f9d4f10"/>
    <x:sheet xmlns:r="http://schemas.openxmlformats.org/officeDocument/2006/relationships" name="Defect Log" sheetId="3" r:id="Rc8d2b0bc05414627"/>
    <x:sheet xmlns:r="http://schemas.openxmlformats.org/officeDocument/2006/relationships" name="Test Runs" sheetId="4" r:id="R83f46f538576411a"/>
    <x:sheet xmlns:r="http://schemas.openxmlformats.org/officeDocument/2006/relationships" name="Source Map" sheetId="5" r:id="R0bee724ddcb6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64E6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7F1D1D"/>
      </x:patternFill>
    </x:fill>
    <x:fill>
      <x:patternFill patternType="solid">
        <x:fgColor rgb="FF166534"/>
      </x:patternFill>
    </x:fill>
    <x:fill>
      <x:patternFill patternType="solid">
        <x:fgColor rgb="FF4C1D95"/>
      </x:patternFill>
    </x:fill>
    <x:fill>
      <x:patternFill patternType="solid">
        <x:fgColor rgb="FF0F172A"/>
      </x:patternFill>
    </x:fill>
    <x:fill>
      <x:patternFill patternType="solid">
        <x:fgColor rgb="FFECFEFF"/>
      </x:patternFill>
    </x:fill>
    <x:fill>
      <x:patternFill patternType="solid">
        <x:fgColor rgb="FF334155"/>
      </x:patternFill>
    </x:fill>
  </x:fills>
  <x:borders count="5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left" wrapText="1"/>
    </x:xf>
    <x:xf numFmtId="0" fontId="0" fillId="0" borderId="4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horizontal="left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2" xfId="0" applyNumberFormat="1" applyFont="1" applyFill="1" applyBorder="1" applyAlignment="1">
      <x:alignment wrapText="1"/>
    </x:xf>
    <x:xf numFmtId="0" fontId="1" fillId="8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39a6032144d14" /><Relationship Type="http://schemas.openxmlformats.org/officeDocument/2006/relationships/theme" Target="/xl/theme/theme1.xml" Id="R480b3202b22c4b56" /><Relationship Type="http://schemas.openxmlformats.org/officeDocument/2006/relationships/sharedStrings" Target="/xl/sharedStrings.xml" Id="Ra0224b21c1254a84" /><Relationship Type="http://schemas.openxmlformats.org/officeDocument/2006/relationships/worksheet" Target="/xl/worksheets/sheet1.xml" Id="R75715cff1c1349ba" /><Relationship Type="http://schemas.openxmlformats.org/officeDocument/2006/relationships/worksheet" Target="/xl/worksheets/sheet2.xml" Id="R715e0a1e6f9d4f10" /><Relationship Type="http://schemas.openxmlformats.org/officeDocument/2006/relationships/worksheet" Target="/xl/worksheets/sheet3.xml" Id="Rc8d2b0bc05414627" /><Relationship Type="http://schemas.openxmlformats.org/officeDocument/2006/relationships/worksheet" Target="/xl/worksheets/sheet4.xml" Id="R83f46f538576411a" /><Relationship Type="http://schemas.openxmlformats.org/officeDocument/2006/relationships/worksheet" Target="/xl/worksheets/sheet5.xml" Id="R0bee724ddcb64c3f" /></Relationships>
</file>

<file path=xl/tables/table1.xml><?xml version="1.0" encoding="utf-8"?>
<x:table xmlns:x="http://schemas.openxmlformats.org/spreadsheetml/2006/main" id="1" name="UserStoriesTable" displayName="UserStoriesTable" ref="A1:N71" headerRowCount="1" totalsRowCount="0" totalsRowShown="0">
  <x:autoFilter ref="A1:N71"/>
  <x:tableColumns count="14">
    <x:tableColumn id="1" name="Story ID"/>
    <x:tableColumn id="2" name="Area"/>
    <x:tableColumn id="3" name="User Story"/>
    <x:tableColumn id="4" name="Expected Behavior"/>
    <x:tableColumn id="5" name="Code / Selectors"/>
    <x:tableColumn id="6" name="Automation / Smoke Evidence"/>
    <x:tableColumn id="7" name="Manual Test Steps"/>
    <x:tableColumn id="8" name="Priority"/>
    <x:tableColumn id="9" name="Feature Status"/>
    <x:tableColumn id="10" name="Manual Test Status"/>
    <x:tableColumn id="11" name="Defect IDs"/>
    <x:tableColumn id="12" name="Fix Status"/>
    <x:tableColumn id="13" name="Retest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fectLogTable" displayName="DefectLogTable" ref="A1:N41" headerRowCount="1" totalsRowCount="0" totalsRowShown="0">
  <x:autoFilter ref="A1:N41"/>
  <x:tableColumns count="14">
    <x:tableColumn id="1" name="Defect ID"/>
    <x:tableColumn id="2" name="Story ID"/>
    <x:tableColumn id="3" name="Area"/>
    <x:tableColumn id="4" name="Severity"/>
    <x:tableColumn id="5" name="Status"/>
    <x:tableColumn id="6" name="Found In"/>
    <x:tableColumn id="7" name="Summary"/>
    <x:tableColumn id="8" name="Steps"/>
    <x:tableColumn id="9" name="Expected"/>
    <x:tableColumn id="10" name="Actual"/>
    <x:tableColumn id="11" name="Owner"/>
    <x:tableColumn id="12" name="Fix Commit"/>
    <x:tableColumn id="13" name="Retest Status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RunsTable" displayName="TestRunsTable" ref="A1:I5" headerRowCount="1" totalsRowCount="0" totalsRowShown="0">
  <x:autoFilter ref="A1:I5"/>
  <x:tableColumns count="9">
    <x:tableColumn id="1" name="Run ID"/>
    <x:tableColumn id="2" name="Date"/>
    <x:tableColumn id="3" name="Tester"/>
    <x:tableColumn id="4" name="Scope"/>
    <x:tableColumn id="5" name="Command / Scenario"/>
    <x:tableColumn id="6" name="Result"/>
    <x:tableColumn id="7" name="Evidence"/>
    <x:tableColumn id="8" name="Stories Covered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MapTable" displayName="SourceMapTable" ref="A1:E13" headerRowCount="1" totalsRowCount="0" totalsRowShown="0">
  <x:autoFilter ref="A1:E13"/>
  <x:tableColumns count="5">
    <x:tableColumn id="1" name="Area"/>
    <x:tableColumn id="2" name="Primary Source"/>
    <x:tableColumn id="3" name="Runtime / UI Surface"/>
    <x:tableColumn id="4" name="Coverage Evidence"/>
    <x:tableColumn id="5" name="Open Manual Foc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992fe9580246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ac2e969a314c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c8637dede843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de7177cf9d48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7.110000133514404" hidden="0" customWidth="1"/>
    <x:col min="3" max="3" width="28.889999389648438" hidden="0" customWidth="1"/>
    <x:col min="4" max="4" width="31.110000610351562" hidden="0" customWidth="1"/>
    <x:col min="5" max="5" width="12.220000267028809" hidden="0" customWidth="1"/>
    <x:col min="6" max="6" width="28.889999389648438" hidden="0" customWidth="1"/>
    <x:col min="7" max="7" width="24.440000534057617" hidden="0" customWidth="1"/>
    <x:col min="8" max="8" width="16.670000076293945" hidden="0" customWidth="1"/>
  </x:cols>
  <x:sheetData>
    <x:row r="1" ht="25.5" customHeight="1">
      <x:c r="A1" s="40" t="str">
        <x:v>PearCup Feature and User Story Status</x:v>
      </x:c>
      <x:c r="B1" s="40"/>
      <x:c r="C1" s="40"/>
      <x:c r="D1" s="40"/>
      <x:c r="E1" s="40"/>
      <x:c r="F1" s="40"/>
      <x:c r="G1" s="40"/>
      <x:c r="H1" s="40"/>
    </x:row>
    <x:row r="2" ht="31.5" customHeight="1">
      <x:c r="A2" s="43" t="str">
        <x:v>Canonical tracker generated from current code after WDK/QVAC integration. Branch: main; commit: 84044b3; generated: 2026-07-02.</x:v>
      </x:c>
      <x:c r="B2" s="43"/>
      <x:c r="C2" s="43"/>
      <x:c r="D2" s="43"/>
      <x:c r="E2" s="43"/>
      <x:c r="F2" s="43"/>
      <x:c r="G2" s="43"/>
      <x:c r="H2" s="43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 ht="40.5" customHeight="1">
      <x:c r="A4" s="6" t="str">
        <x:v>Metric</x:v>
      </x:c>
      <x:c r="B4" s="7" t="str">
        <x:v>Value</x:v>
      </x:c>
      <x:c r="C4" s="7" t="str">
        <x:v>Meaning</x:v>
      </x:c>
      <x:c r="D4" s="7" t="str">
        <x:v>Current Gate</x:v>
      </x:c>
      <x:c r="E4" s="7" t="str">
        <x:v>Result</x:v>
      </x:c>
      <x:c r="F4" s="7" t="str">
        <x:v>Evidence</x:v>
      </x:c>
      <x:c r="G4" s="7" t="str">
        <x:v>Next Action</x:v>
      </x:c>
      <x:c r="H4" s="8" t="str">
        <x:v>Phase</x:v>
      </x:c>
    </x:row>
    <x:row r="5" ht="40.5" customHeight="1">
      <x:c r="A5" s="12" t="str">
        <x:v>Total stories</x:v>
      </x:c>
      <x:c r="B5" s="12" t="n">
        <x:f>COUNTA('User Stories'!$A$2:$A$200)</x:f>
        <x:v>70</x:v>
      </x:c>
      <x:c r="C5" s="12" t="str">
        <x:v>All code-grounded feature stories in User Stories.</x:v>
      </x:c>
      <x:c r="D5" s="12" t="str">
        <x:v>Worktree</x:v>
      </x:c>
      <x:c r="E5" s="12" t="str">
        <x:v>Clean</x:v>
      </x:c>
      <x:c r="F5" s="12" t="str">
        <x:v>git status: main ahead 1 with no dirty files before workbook generation</x:v>
      </x:c>
      <x:c r="G5" s="12" t="str">
        <x:v>Keep tracker committed after changes.</x:v>
      </x:c>
      <x:c r="H5" s="12" t="str">
        <x:v>Baseline</x:v>
      </x:c>
    </x:row>
    <x:row r="6" ht="40.5" customHeight="1">
      <x:c r="A6" s="12" t="str">
        <x:v>Integrated stories</x:v>
      </x:c>
      <x:c r="B6" s="12" t="n">
        <x:f>COUNTIF('User Stories'!$I$2:$I$200,"Integrated")</x:f>
        <x:v>70</x:v>
      </x:c>
      <x:c r="C6" s="12" t="str">
        <x:v>Rows whose Feature Status is Integrated.</x:v>
      </x:c>
      <x:c r="D6" s="12" t="str">
        <x:v>Runtime tests</x:v>
      </x:c>
      <x:c r="E6" s="12" t="str">
        <x:v>Passed</x:v>
      </x:c>
      <x:c r="F6" s="12" t="str">
        <x:v>npm run check: 282/282 tests plus audit/checks</x:v>
      </x:c>
      <x:c r="G6" s="12" t="str">
        <x:v>Manual user-story loop.</x:v>
      </x:c>
      <x:c r="H6" s="12" t="str">
        <x:v>Baseline</x:v>
      </x:c>
    </x:row>
    <x:row r="7" ht="40.5" customHeight="1">
      <x:c r="A7" s="12" t="str">
        <x:v>Manual not run</x:v>
      </x:c>
      <x:c r="B7" s="12" t="n">
        <x:f>COUNTIF('User Stories'!$J$2:$J$200,"Not Run")</x:f>
        <x:v>54</x:v>
      </x:c>
      <x:c r="C7" s="12" t="str">
        <x:v>Rows still awaiting manual behavior testing.</x:v>
      </x:c>
      <x:c r="D7" s="12" t="str">
        <x:v>Kawaii syntax</x:v>
      </x:c>
      <x:c r="E7" s="12" t="str">
        <x:v>Passed</x:v>
      </x:c>
      <x:c r="F7" s="12" t="str">
        <x:v>All staged JS/CJS files parsed</x:v>
      </x:c>
      <x:c r="G7" s="12" t="str">
        <x:v>Retest after each fix.</x:v>
      </x:c>
      <x:c r="H7" s="12" t="str">
        <x:v>Manual Test</x:v>
      </x:c>
    </x:row>
    <x:row r="8" ht="40.5" customHeight="1">
      <x:c r="A8" s="12" t="str">
        <x:v>Manual passed/smoke</x:v>
      </x:c>
      <x:c r="B8" s="12" t="n">
        <x:f>COUNTIF('User Stories'!$J$2:$J$200,"Passed")+COUNTIF('User Stories'!$J$2:$J$200,"Passed (Smoke)")</x:f>
        <x:v>16</x:v>
      </x:c>
      <x:c r="C8" s="12" t="str">
        <x:v>Rows with Passed or Passed (Smoke).</x:v>
      </x:c>
      <x:c r="D8" s="12" t="str">
        <x:v>Browser smoke</x:v>
      </x:c>
      <x:c r="E8" s="12" t="str">
        <x:v>Passed</x:v>
      </x:c>
      <x:c r="F8" s="12" t="str">
        <x:v>Top nav screens active; no boot banner; no console errors</x:v>
      </x:c>
      <x:c r="G8" s="12" t="str">
        <x:v>Deep workflow testing.</x:v>
      </x:c>
      <x:c r="H8" s="12" t="str">
        <x:v>Manual Test</x:v>
      </x:c>
    </x:row>
    <x:row r="9" ht="40.5" customHeight="1">
      <x:c r="A9" s="12" t="str">
        <x:v>Open defects</x:v>
      </x:c>
      <x:c r="B9" s="12" t="n">
        <x:f>COUNTIF('Defect Log'!$E$2:$E$200,"Open")+COUNTIF('Defect Log'!$E$2:$E$200,"In Progress")</x:f>
        <x:v>0</x:v>
      </x:c>
      <x:c r="C9" s="12" t="str">
        <x:v>Defects with Open or In Progress status.</x:v>
      </x:c>
      <x:c r="D9" s="12" t="str">
        <x:v>Pear audit</x:v>
      </x:c>
      <x:c r="E9" s="12" t="str">
        <x:v>Passed</x:v>
      </x:c>
      <x:c r="F9" s="12" t="str">
        <x:v>68 passed, 0 blocking, 0 warnings</x:v>
      </x:c>
      <x:c r="G9" s="12" t="str">
        <x:v>Document every defect found.</x:v>
      </x:c>
      <x:c r="H9" s="12" t="str">
        <x:v>Defects</x:v>
      </x:c>
    </x:row>
    <x:row r="10" ht="40.5" customHeight="1">
      <x:c r="A10" s="12" t="str">
        <x:v>Fixes awaiting retest</x:v>
      </x:c>
      <x:c r="B10" s="12" t="n">
        <x:f>COUNTIF('User Stories'!$L$2:$L$200,"Retest Needed")+COUNTIF('Defect Log'!$M$2:$M$200,"Retest Needed")</x:f>
        <x:v>0</x:v>
      </x:c>
      <x:c r="C10" s="12" t="str">
        <x:v>User stories or defects marked Retest Needed.</x:v>
      </x:c>
      <x:c r="D10" s="12" t="str">
        <x:v>Integration commit</x:v>
      </x:c>
      <x:c r="E10" s="12" t="str">
        <x:v>84044b3</x:v>
      </x:c>
      <x:c r="F10" s="12" t="str">
        <x:v>Merged tested WDK/QVAC runtime into Kawaii app</x:v>
      </x:c>
      <x:c r="G10" s="12" t="str">
        <x:v>Commit fixes and repeat gate.</x:v>
      </x:c>
      <x:c r="H10" s="12" t="str">
        <x:v>Fix/Retest</x:v>
      </x:c>
    </x:row>
    <x:row r="11" ht="40.5" customHeight="1">
      <x:c r="A11" s="12" t="str">
        <x:v>P0 stories</x:v>
      </x:c>
      <x:c r="B11" s="12" t="n">
        <x:f>COUNTIF('User Stories'!$H$2:$H$200,"P0")</x:f>
        <x:v>34</x:v>
      </x:c>
      <x:c r="C11" s="12" t="str">
        <x:v>Release-blocking stories and integrity gates.</x:v>
      </x:c>
      <x:c r="D11" s="12" t="str">
        <x:v>Server</x:v>
      </x:c>
      <x:c r="E11" s="12" t="str">
        <x:v>Running</x:v>
      </x:c>
      <x:c r="F11" s="12" t="str">
        <x:v>Static preview at http://127.0.0.1:4175/</x:v>
      </x:c>
      <x:c r="G11" s="12" t="str">
        <x:v>Use for browser loop.</x:v>
      </x:c>
      <x:c r="H11" s="12" t="str">
        <x:v>Manual Test</x:v>
      </x:c>
    </x:row>
    <x:row r="12" ht="40.5" customHeight="1">
      <x:c r="A12" s="12" t="str">
        <x:v>Stories needing fix</x:v>
      </x:c>
      <x:c r="B12" s="12" t="n">
        <x:f>COUNTIF('User Stories'!$I$2:$I$200,"Needs Fix")</x:f>
        <x:v>0</x:v>
      </x:c>
      <x:c r="C12" s="12" t="str">
        <x:v>User stories marked Needs Fix.</x:v>
      </x:c>
      <x:c r="D12" s="12" t="str">
        <x:v>Canonical workbook</x:v>
      </x:c>
      <x:c r="E12" s="12" t="str">
        <x:v>Created</x:v>
      </x:c>
      <x:c r="F12" s="12" t="str">
        <x:v>This workbook is the single tracker for feature status, test results, defects, fixes, and retests.</x:v>
      </x:c>
      <x:c r="G12" s="12" t="str">
        <x:v>Fill Defect Log during testing.</x:v>
      </x:c>
      <x:c r="H12" s="12" t="str">
        <x:v>Defects</x:v>
      </x:c>
    </x:row>
    <x:row r="13">
      <x:c r="A13" s="52"/>
      <x:c r="B13" s="52"/>
      <x:c r="C13" s="52"/>
      <x:c r="D13" s="52"/>
      <x:c r="E13" s="52"/>
      <x:c r="F13" s="52"/>
      <x:c r="G13" s="52"/>
      <x:c r="H13" s="52"/>
    </x:row>
    <x:row r="14" ht="28.5" customHeight="1">
      <x:c r="A14" s="49" t="str">
        <x:v>Workflow</x:v>
      </x:c>
      <x:c r="B14" s="50" t="str">
        <x:v>Owner</x:v>
      </x:c>
      <x:c r="C14" s="50" t="str">
        <x:v>When</x:v>
      </x:c>
      <x:c r="D14" s="50" t="str">
        <x:v>Action</x:v>
      </x:c>
      <x:c r="E14" s="50" t="str">
        <x:v>Workbook Sheet</x:v>
      </x:c>
      <x:c r="F14" s="50" t="str">
        <x:v>Done Signal</x:v>
      </x:c>
      <x:c r="G14" s="50" t="str">
        <x:v>Risk If Skipped</x:v>
      </x:c>
      <x:c r="H14" s="51" t="str">
        <x:v>Notes</x:v>
      </x:c>
    </x:row>
    <x:row r="15" ht="72" customHeight="1">
      <x:c r="A15" s="12" t="str">
        <x:v>1. Inventory</x:v>
      </x:c>
      <x:c r="B15" s="12" t="str">
        <x:v>Codex</x:v>
      </x:c>
      <x:c r="C15" s="12" t="str">
        <x:v>Now</x:v>
      </x:c>
      <x:c r="D15" s="12" t="str">
        <x:v>Keep every feature represented by a user story and expected behavior.</x:v>
      </x:c>
      <x:c r="E15" s="12" t="str">
        <x:v>User Stories</x:v>
      </x:c>
      <x:c r="F15" s="12" t="str">
        <x:v>Story exists with code refs.</x:v>
      </x:c>
      <x:c r="G15" s="12" t="str">
        <x:v>Untested features hide in plain sight.</x:v>
      </x:c>
      <x:c r="H15" s="12" t="str">
        <x:v>Initial inventory complete from code and docs.</x:v>
      </x:c>
    </x:row>
    <x:row r="16" ht="72" customHeight="1">
      <x:c r="A16" s="12" t="str">
        <x:v>2. Test loop</x:v>
      </x:c>
      <x:c r="B16" s="12" t="str">
        <x:v>Codex</x:v>
      </x:c>
      <x:c r="C16" s="12" t="str">
        <x:v>Next</x:v>
      </x:c>
      <x:c r="D16" s="12" t="str">
        <x:v>Execute each user story and log any error immediately.</x:v>
      </x:c>
      <x:c r="E16" s="12" t="str">
        <x:v>User Stories, Defect Log, Test Runs</x:v>
      </x:c>
      <x:c r="F16" s="12" t="str">
        <x:v>Manual Test Status updated.</x:v>
      </x:c>
      <x:c r="G16" s="12" t="str">
        <x:v>Bugs become anecdotal instead of traceable.</x:v>
      </x:c>
      <x:c r="H16" s="12" t="str">
        <x:v>Start with P0/P1 flows.</x:v>
      </x:c>
    </x:row>
    <x:row r="17" ht="72" customHeight="1">
      <x:c r="A17" s="12" t="str">
        <x:v>3. Fix loop</x:v>
      </x:c>
      <x:c r="B17" s="12" t="str">
        <x:v>Codex</x:v>
      </x:c>
      <x:c r="C17" s="12" t="str">
        <x:v>After defects</x:v>
      </x:c>
      <x:c r="D17" s="12" t="str">
        <x:v>Patch logistical and UX defects with focused commits.</x:v>
      </x:c>
      <x:c r="E17" s="12" t="str">
        <x:v>Defect Log</x:v>
      </x:c>
      <x:c r="F17" s="12" t="str">
        <x:v>Fix Commit and Fix Status filled.</x:v>
      </x:c>
      <x:c r="G17" s="12" t="str">
        <x:v>Fixes lose context.</x:v>
      </x:c>
      <x:c r="H17" s="12" t="str">
        <x:v>Keep worktree clean between batches.</x:v>
      </x:c>
    </x:row>
    <x:row r="18" ht="72" customHeight="1">
      <x:c r="A18" s="12" t="str">
        <x:v>4. Retest loop</x:v>
      </x:c>
      <x:c r="B18" s="12" t="str">
        <x:v>Codex</x:v>
      </x:c>
      <x:c r="C18" s="12" t="str">
        <x:v>After fixes</x:v>
      </x:c>
      <x:c r="D18" s="12" t="str">
        <x:v>Retest every affected behavior and update status.</x:v>
      </x:c>
      <x:c r="E18" s="12" t="str">
        <x:v>User Stories, Defect Log</x:v>
      </x:c>
      <x:c r="F18" s="12" t="str">
        <x:v>Retest Status passed or blocked.</x:v>
      </x:c>
      <x:c r="G18" s="12" t="str">
        <x:v>Regressions slip through.</x:v>
      </x:c>
      <x:c r="H18" s="12" t="str">
        <x:v>Repeat full gate after fixes.</x:v>
      </x:c>
    </x:row>
    <x:row r="19" ht="72" customHeight="1">
      <x:c r="A19" s="12" t="str">
        <x:v>5. Release gate</x:v>
      </x:c>
      <x:c r="B19" s="12" t="str">
        <x:v>Codex/User</x:v>
      </x:c>
      <x:c r="C19" s="12" t="str">
        <x:v>Before handoff</x:v>
      </x:c>
      <x:c r="D19" s="12" t="str">
        <x:v>Run repo check, Kawaii syntax, browser smoke, and review open defects.</x:v>
      </x:c>
      <x:c r="E19" s="12" t="str">
        <x:v>Dashboard, Test Runs</x:v>
      </x:c>
      <x:c r="F19" s="12" t="str">
        <x:v>No open P0/P1 defects.</x:v>
      </x:c>
      <x:c r="G19" s="12" t="str">
        <x:v>Unclear release confidence.</x:v>
      </x:c>
      <x:c r="H19" s="12" t="str">
        <x:v>Current baseline is green.</x:v>
      </x:c>
    </x:row>
  </x:sheetData>
  <x:mergeCells>
    <x:mergeCell ref="A1:H1"/>
    <x:mergeCell ref="A2:H2"/>
  </x:mergeCells>
  <x:conditionalFormatting sqref="E5:E12">
    <x:cfRule type="containsText" dxfId="15" priority="1" operator="containsText" text="Passed"/>
    <x:cfRule type="containsText" dxfId="16" priority="2" operator="containsText" text="Failed"/>
    <x:cfRule type="containsText" dxfId="17" priority="3" operator="containsText" text="Needs Fix"/>
    <x:cfRule type="containsText" dxfId="18" priority="4" operator="containsText" text="Not Run"/>
    <x:cfRule type="containsText" dxfId="19" priority="5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14.4399995803833" hidden="0" customWidth="1"/>
    <x:col min="3" max="3" width="28.889999389648438" hidden="0" customWidth="1"/>
    <x:col min="4" max="4" width="35.560001373291016" hidden="0" customWidth="1"/>
    <x:col min="5" max="5" width="28.889999389648438" hidden="0" customWidth="1"/>
    <x:col min="6" max="6" width="25.559999465942383" hidden="0" customWidth="1"/>
    <x:col min="7" max="7" width="34.439998626708984" hidden="0" customWidth="1"/>
    <x:col min="8" max="8" width="6.889999866485596" hidden="0" customWidth="1"/>
    <x:col min="9" max="9" width="12.4399995803833" hidden="0" customWidth="1"/>
    <x:col min="10" max="10" width="13.329999923706055" hidden="0" customWidth="1"/>
    <x:col min="11" max="11" width="10.670000076293945" hidden="0" customWidth="1"/>
    <x:col min="12" max="12" width="11.5600004196167" hidden="0" customWidth="1"/>
    <x:col min="13" max="13" width="11.5600004196167" hidden="0" customWidth="1"/>
    <x:col min="14" max="14" width="23.329999923706055" hidden="0" customWidth="1"/>
  </x:cols>
  <x:sheetData>
    <x:row r="1" ht="25.5" customHeight="1">
      <x:c r="A1" s="6" t="str">
        <x:v>Story ID</x:v>
      </x:c>
      <x:c r="B1" s="7" t="str">
        <x:v>Area</x:v>
      </x:c>
      <x:c r="C1" s="7" t="str">
        <x:v>User Story</x:v>
      </x:c>
      <x:c r="D1" s="7" t="str">
        <x:v>Expected Behavior</x:v>
      </x:c>
      <x:c r="E1" s="7" t="str">
        <x:v>Code / Selectors</x:v>
      </x:c>
      <x:c r="F1" s="7" t="str">
        <x:v>Automation / Smoke Evidence</x:v>
      </x:c>
      <x:c r="G1" s="7" t="str">
        <x:v>Manual Test Steps</x:v>
      </x:c>
      <x:c r="H1" s="7" t="str">
        <x:v>Priority</x:v>
      </x:c>
      <x:c r="I1" s="7" t="str">
        <x:v>Feature Status</x:v>
      </x:c>
      <x:c r="J1" s="7" t="str">
        <x:v>Manual Test Status</x:v>
      </x:c>
      <x:c r="K1" s="7" t="str">
        <x:v>Defect IDs</x:v>
      </x:c>
      <x:c r="L1" s="7" t="str">
        <x:v>Fix Status</x:v>
      </x:c>
      <x:c r="M1" s="7" t="str">
        <x:v>Retest Status</x:v>
      </x:c>
      <x:c r="N1" s="8" t="str">
        <x:v>Notes</x:v>
      </x:c>
    </x:row>
    <x:row r="2" ht="45" customHeight="1">
      <x:c r="A2" s="12" t="str">
        <x:v>US-001</x:v>
      </x:c>
      <x:c r="B2" s="12" t="str">
        <x:v>Boot and Navigation</x:v>
      </x:c>
      <x:c r="C2" s="12" t="str">
        <x:v>As a returning player, I can open PearCup without a runtime crash.</x:v>
      </x:c>
      <x:c r="D2" s="12" t="str">
        <x:v>The app loads the Kawaii shell, initializes required modules, and shows a readable boot banner only if a required dependency is missing.</x:v>
      </x:c>
      <x:c r="E2" s="12" t="str">
        <x:v>design/kawaii-app/index.html; design/kawaii-app/app.js: needModule, boot; module script tags</x:v>
      </x:c>
      <x:c r="F2" s="12" t="str">
        <x:v>npm run check passed; browser smoke found no boot banner or console errors.</x:v>
      </x:c>
      <x:c r="G2" s="12" t="str">
        <x:v>Open http://127.0.0.1:4175/, reload, verify title, shell, wallet chip, profile chip, and no PearCup boot error.</x:v>
      </x:c>
      <x:c r="H2" s="12" t="str">
        <x:v>P0</x:v>
      </x:c>
      <x:c r="I2" s="12" t="str">
        <x:v>Integrated</x:v>
      </x:c>
      <x:c r="J2" s="12" t="str">
        <x:v>Passed (Smoke)</x:v>
      </x:c>
      <x:c r="K2" s="12" t="str"/>
      <x:c r="L2" s="12" t="str">
        <x:v>None</x:v>
      </x:c>
      <x:c r="M2" s="12" t="str">
        <x:v>Not Run</x:v>
      </x:c>
      <x:c r="N2" s="12" t="str">
        <x:v>Current live tab passed on 2026-07-02.</x:v>
      </x:c>
    </x:row>
    <x:row r="3" ht="45" customHeight="1">
      <x:c r="A3" s="12" t="str">
        <x:v>US-002</x:v>
      </x:c>
      <x:c r="B3" s="12" t="str">
        <x:v>Boot and Navigation</x:v>
      </x:c>
      <x:c r="C3" s="12" t="str">
        <x:v>As a player, I can move between Profile, Home, Bracket, Watch, and Games from the top nav.</x:v>
      </x:c>
      <x:c r="D3" s="12" t="str">
        <x:v>Each top-nav button activates exactly one screen and leaves expected controls visible.</x:v>
      </x:c>
      <x:c r="E3" s="12" t="str">
        <x:v>design/kawaii-app/index.html: .topnav buttons; design/kawaii-app/app.js: setView, bindViewButtons</x:v>
      </x:c>
      <x:c r="F3" s="12" t="str">
        <x:v>Browser smoke clicked all top-nav screens successfully.</x:v>
      </x:c>
      <x:c r="G3" s="12" t="str">
        <x:v>Click Profile, Home, Bracket, Watch, Games; verify each section receives is-active and expected controls render.</x:v>
      </x:c>
      <x:c r="H3" s="12" t="str">
        <x:v>P0</x:v>
      </x:c>
      <x:c r="I3" s="12" t="str">
        <x:v>Integrated</x:v>
      </x:c>
      <x:c r="J3" s="12" t="str">
        <x:v>Passed (Smoke)</x:v>
      </x:c>
      <x:c r="K3" s="12" t="str"/>
      <x:c r="L3" s="12" t="str">
        <x:v>None</x:v>
      </x:c>
      <x:c r="M3" s="12" t="str">
        <x:v>Not Run</x:v>
      </x:c>
      <x:c r="N3" s="12" t="str">
        <x:v>CTA buttons also share data-view and are intentionally excluded from top-nav uniqueness.</x:v>
      </x:c>
    </x:row>
    <x:row r="4" ht="45" customHeight="1">
      <x:c r="A4" s="12" t="str">
        <x:v>US-003</x:v>
      </x:c>
      <x:c r="B4" s="12" t="str">
        <x:v>Boot and Navigation</x:v>
      </x:c>
      <x:c r="C4" s="12" t="str">
        <x:v>As a player, my app state survives reloads.</x:v>
      </x:c>
      <x:c r="D4" s="12" t="str">
        <x:v>Profile, wallet, picks, room/game state, theme, and settings load from localStorage with safe fallback defaults.</x:v>
      </x:c>
      <x:c r="E4" s="12" t="str">
        <x:v>design/kawaii-app/app.js: loadState, persist, STORAGE_KEY</x:v>
      </x:c>
      <x:c r="F4" s="12" t="str">
        <x:v>Syntax covered; requires manual persistence pass.</x:v>
      </x:c>
      <x:c r="G4" s="12" t="str">
        <x:v>Change username, team, theme, live setting, and a bracket draft; reload; verify values restore without duplicates or crashes.</x:v>
      </x:c>
      <x:c r="H4" s="12" t="str">
        <x:v>P1</x:v>
      </x:c>
      <x:c r="I4" s="12" t="str">
        <x:v>Integrated</x:v>
      </x:c>
      <x:c r="J4" s="12" t="str">
        <x:v>Not Run</x:v>
      </x:c>
      <x:c r="K4" s="12" t="str"/>
      <x:c r="L4" s="12" t="str">
        <x:v>None</x:v>
      </x:c>
      <x:c r="M4" s="12" t="str">
        <x:v>Not Run</x:v>
      </x:c>
      <x:c r="N4" s="12" t="str"/>
    </x:row>
    <x:row r="5" ht="45" customHeight="1">
      <x:c r="A5" s="12" t="str">
        <x:v>US-004</x:v>
      </x:c>
      <x:c r="B5" s="12" t="str">
        <x:v>Runtime Integration</x:v>
      </x:c>
      <x:c r="C5" s="12" t="str">
        <x:v>As an operator, I can run in demo mode when live SDK packages are absent.</x:v>
      </x:c>
      <x:c r="D5" s="12" t="str">
        <x:v>Runtime config falls back to demo adapters and reports demo/compliance locks without breaking user flows.</x:v>
      </x:c>
      <x:c r="E5" s="12" t="str">
        <x:v>app/runtime-config.js; app/runtime-settings.js; design/kawaii-app/runtime-config.js; design/kawaii-app/app.js: integrationRuntime</x:v>
      </x:c>
      <x:c r="F5" s="12" t="str">
        <x:v>npm run check: runtime-config/runtime-settings/adapters tests passed.</x:v>
      </x:c>
      <x:c r="G5" s="12" t="str">
        <x:v>Open app without SDK globals; verify live readiness panels show demo status and gameplay/brackets remain usable in demo mode.</x:v>
      </x:c>
      <x:c r="H5" s="12" t="str">
        <x:v>P0</x:v>
      </x:c>
      <x:c r="I5" s="12" t="str">
        <x:v>Integrated</x:v>
      </x:c>
      <x:c r="J5" s="12" t="str">
        <x:v>Not Run</x:v>
      </x:c>
      <x:c r="K5" s="12" t="str"/>
      <x:c r="L5" s="12" t="str">
        <x:v>None</x:v>
      </x:c>
      <x:c r="M5" s="12" t="str">
        <x:v>Not Run</x:v>
      </x:c>
      <x:c r="N5" s="12" t="str"/>
    </x:row>
    <x:row r="6" ht="45" customHeight="1">
      <x:c r="A6" s="12" t="str">
        <x:v>US-005</x:v>
      </x:c>
      <x:c r="B6" s="12" t="str">
        <x:v>Runtime Integration</x:v>
      </x:c>
      <x:c r="C6" s="12" t="str">
        <x:v>As an operator, settlement rails only go live when QVAC, WDK, compliance, and recipient routes are ready.</x:v>
      </x:c>
      <x:c r="D6" s="12" t="str">
        <x:v>Live-money commands are guarded; readiness and launch audit explain missing gates and pass only with complete evidence.</x:v>
      </x:c>
      <x:c r="E6" s="12" t="str">
        <x:v>app/live-readiness.js; app/live-launch-audit.js; app/settlement-service.js</x:v>
      </x:c>
      <x:c r="F6" s="12" t="str">
        <x:v>npm run check: live readiness, launch audit, settlement-service tests passed.</x:v>
      </x:c>
      <x:c r="G6" s="12" t="str">
        <x:v>Run readiness/audit with demo config and live-ready config; verify blocking reasons and pass report match expected gates.</x:v>
      </x:c>
      <x:c r="H6" s="12" t="str">
        <x:v>P0</x:v>
      </x:c>
      <x:c r="I6" s="12" t="str">
        <x:v>Integrated</x:v>
      </x:c>
      <x:c r="J6" s="12" t="str">
        <x:v>Not Run</x:v>
      </x:c>
      <x:c r="K6" s="12" t="str"/>
      <x:c r="L6" s="12" t="str">
        <x:v>None</x:v>
      </x:c>
      <x:c r="M6" s="12" t="str">
        <x:v>Not Run</x:v>
      </x:c>
      <x:c r="N6" s="12" t="str"/>
    </x:row>
    <x:row r="7" ht="45" customHeight="1">
      <x:c r="A7" s="12" t="str">
        <x:v>US-006</x:v>
      </x:c>
      <x:c r="B7" s="12" t="str">
        <x:v>Runtime Integration</x:v>
      </x:c>
      <x:c r="C7" s="12" t="str">
        <x:v>As a developer, the Kawaii app consumes the same tested WDK/QVAC modules as the app runtime.</x:v>
      </x:c>
      <x:c r="D7" s="12" t="str">
        <x:v>Staged design modules match the advanced runtime surfaces for core, adapters, worker, settlement, QVAC referee, and Tether WDK bridge.</x:v>
      </x:c>
      <x:c r="E7" s="12" t="str">
        <x:v>app/*.js; design/kawaii-app/*.js; commit 84044b3</x:v>
      </x:c>
      <x:c r="F7" s="12" t="str">
        <x:v>Merged commit 84044b3; npm run check passed; Kawaii syntax sweep passed.</x:v>
      </x:c>
      <x:c r="G7" s="12" t="str">
        <x:v>Compare staged module files and run app plus audit checks; verify no stale runtime surfaces remain in design/kawaii-app.</x:v>
      </x:c>
      <x:c r="H7" s="12" t="str">
        <x:v>P0</x:v>
      </x:c>
      <x:c r="I7" s="12" t="str">
        <x:v>Integrated</x:v>
      </x:c>
      <x:c r="J7" s="12" t="str">
        <x:v>Passed (Smoke)</x:v>
      </x:c>
      <x:c r="K7" s="12" t="str"/>
      <x:c r="L7" s="12" t="str">
        <x:v>None</x:v>
      </x:c>
      <x:c r="M7" s="12" t="str">
        <x:v>Not Run</x:v>
      </x:c>
      <x:c r="N7" s="12" t="str">
        <x:v>Head during workbook generation: 84044b3.</x:v>
      </x:c>
    </x:row>
    <x:row r="8" ht="45" customHeight="1">
      <x:c r="A8" s="12" t="str">
        <x:v>US-007</x:v>
      </x:c>
      <x:c r="B8" s="12" t="str">
        <x:v>Profile</x:v>
      </x:c>
      <x:c r="C8" s="12" t="str">
        <x:v>As a new player, I can choose a username.</x:v>
      </x:c>
      <x:c r="D8" s="12" t="str">
        <x:v>Username input updates local state, respects max length, and save falls back to a friendly default when blank.</x:v>
      </x:c>
      <x:c r="E8" s="12" t="str">
        <x:v>design/kawaii-app/index.html: #usernameInput, #saveProfile; design/kawaii-app/app.js: bindEvents, renderProfile</x:v>
      </x:c>
      <x:c r="F8" s="12" t="str">
        <x:v>UI code inventoried; requires manual form pass.</x:v>
      </x:c>
      <x:c r="G8" s="12" t="str">
        <x:v>Enter a long username, save, reload, then save an empty username; verify chip and profile text update safely.</x:v>
      </x:c>
      <x:c r="H8" s="12" t="str">
        <x:v>P1</x:v>
      </x:c>
      <x:c r="I8" s="12" t="str">
        <x:v>Integrated</x:v>
      </x:c>
      <x:c r="J8" s="12" t="str">
        <x:v>Not Run</x:v>
      </x:c>
      <x:c r="K8" s="12" t="str"/>
      <x:c r="L8" s="12" t="str">
        <x:v>None</x:v>
      </x:c>
      <x:c r="M8" s="12" t="str">
        <x:v>Not Run</x:v>
      </x:c>
      <x:c r="N8" s="12" t="str"/>
    </x:row>
    <x:row r="9" ht="45" customHeight="1">
      <x:c r="A9" s="12" t="str">
        <x:v>US-008</x:v>
      </x:c>
      <x:c r="B9" s="12" t="str">
        <x:v>Profile</x:v>
      </x:c>
      <x:c r="C9" s="12" t="str">
        <x:v>As a fan, I can pick my country/team and see it reflected in my avatar and UI.</x:v>
      </x:c>
      <x:c r="D9" s="12" t="str">
        <x:v>Team grid selection updates country, kit, avatar portrait/fallback, profile chip, and country-affinity labels.</x:v>
      </x:c>
      <x:c r="E9" s="12" t="str">
        <x:v>design/kawaii-app/app.js: renderTeams, avatarSvg, avatarPortrait, renderProfile</x:v>
      </x:c>
      <x:c r="F9" s="12" t="str">
        <x:v>UI code inventoried; requires manual selection pass.</x:v>
      </x:c>
      <x:c r="G9" s="12" t="str">
        <x:v>Pick several countries, verify active state, avatar art, profile chip, and home/watch/game labels update.</x:v>
      </x:c>
      <x:c r="H9" s="12" t="str">
        <x:v>P1</x:v>
      </x:c>
      <x:c r="I9" s="12" t="str">
        <x:v>Integrated</x:v>
      </x:c>
      <x:c r="J9" s="12" t="str">
        <x:v>Not Run</x:v>
      </x:c>
      <x:c r="K9" s="12" t="str"/>
      <x:c r="L9" s="12" t="str">
        <x:v>None</x:v>
      </x:c>
      <x:c r="M9" s="12" t="str">
        <x:v>Not Run</x:v>
      </x:c>
      <x:c r="N9" s="12" t="str"/>
    </x:row>
    <x:row r="10" ht="45" customHeight="1">
      <x:c r="A10" s="12" t="str">
        <x:v>US-009</x:v>
      </x:c>
      <x:c r="B10" s="12" t="str">
        <x:v>Profile</x:v>
      </x:c>
      <x:c r="C10" s="12" t="str">
        <x:v>As a player, I can save my profile and enter the main Home screen.</x:v>
      </x:c>
      <x:c r="D10" s="12" t="str">
        <x:v>Save persists username/team and routes to Home with a toast/status response.</x:v>
      </x:c>
      <x:c r="E10" s="12" t="str">
        <x:v>design/kawaii-app/app.js: saveProfile listener, setView, showToast</x:v>
      </x:c>
      <x:c r="F10" s="12" t="str">
        <x:v>UI code inventoried; requires manual save pass.</x:v>
      </x:c>
      <x:c r="G10" s="12" t="str">
        <x:v>Choose team and username, click Enter, verify Home is active and profile chip reflects saved identity.</x:v>
      </x:c>
      <x:c r="H10" s="12" t="str">
        <x:v>P1</x:v>
      </x:c>
      <x:c r="I10" s="12" t="str">
        <x:v>Integrated</x:v>
      </x:c>
      <x:c r="J10" s="12" t="str">
        <x:v>Not Run</x:v>
      </x:c>
      <x:c r="K10" s="12" t="str"/>
      <x:c r="L10" s="12" t="str">
        <x:v>None</x:v>
      </x:c>
      <x:c r="M10" s="12" t="str">
        <x:v>Not Run</x:v>
      </x:c>
      <x:c r="N10" s="12" t="str"/>
    </x:row>
    <x:row r="11" ht="45" customHeight="1">
      <x:c r="A11" s="12" t="str">
        <x:v>US-010</x:v>
      </x:c>
      <x:c r="B11" s="12" t="str">
        <x:v>Profile</x:v>
      </x:c>
      <x:c r="C11" s="12" t="str">
        <x:v>As a player, I can switch PearCup themes.</x:v>
      </x:c>
      <x:c r="D11" s="12" t="str">
        <x:v>First-run picker and theme button apply available themes without losing profile, wallet, or picks.</x:v>
      </x:c>
      <x:c r="E11" s="12" t="str">
        <x:v>design/kawaii-app/app.js: THEMES, applyTheme, setTheme, showThemePicker, renderThemeSwitcher</x:v>
      </x:c>
      <x:c r="F11" s="12" t="str">
        <x:v>UI code inventoried; requires manual theme pass.</x:v>
      </x:c>
      <x:c r="G11" s="12" t="str">
        <x:v>Open theme picker, choose each theme, reload, verify CSS variables and saved state persist.</x:v>
      </x:c>
      <x:c r="H11" s="12" t="str">
        <x:v>P2</x:v>
      </x:c>
      <x:c r="I11" s="12" t="str">
        <x:v>Integrated</x:v>
      </x:c>
      <x:c r="J11" s="12" t="str">
        <x:v>Not Run</x:v>
      </x:c>
      <x:c r="K11" s="12" t="str"/>
      <x:c r="L11" s="12" t="str">
        <x:v>None</x:v>
      </x:c>
      <x:c r="M11" s="12" t="str">
        <x:v>Not Run</x:v>
      </x:c>
      <x:c r="N11" s="12" t="str"/>
    </x:row>
    <x:row r="12" ht="45" customHeight="1">
      <x:c r="A12" s="12" t="str">
        <x:v>US-011</x:v>
      </x:c>
      <x:c r="B12" s="12" t="str">
        <x:v>Wallet</x:v>
      </x:c>
      <x:c r="C12" s="12" t="str">
        <x:v>As a player, I can see my demo wallet balance everywhere I need it.</x:v>
      </x:c>
      <x:c r="D12" s="12" t="str">
        <x:v>Wallet chip and wallet management panel show current balance, pending payouts, and ledger lines consistently.</x:v>
      </x:c>
      <x:c r="E12" s="12" t="str">
        <x:v>design/kawaii-app/index.html: #walletChip, #walletManage; design/kawaii-app/app.js: renderWalletChip, renderWalletManage</x:v>
      </x:c>
      <x:c r="F12" s="12" t="str">
        <x:v>Browser smoke confirmed wallet panel exists; requires wallet behavior pass.</x:v>
      </x:c>
      <x:c r="G12" s="12" t="str">
        <x:v>Open Profile wallet panel, compare chip and panel balance before/after funding, pool entry, and game stake.</x:v>
      </x:c>
      <x:c r="H12" s="12" t="str">
        <x:v>P1</x:v>
      </x:c>
      <x:c r="I12" s="12" t="str">
        <x:v>Integrated</x:v>
      </x:c>
      <x:c r="J12" s="12" t="str">
        <x:v>Not Run</x:v>
      </x:c>
      <x:c r="K12" s="12" t="str"/>
      <x:c r="L12" s="12" t="str">
        <x:v>None</x:v>
      </x:c>
      <x:c r="M12" s="12" t="str">
        <x:v>Not Run</x:v>
      </x:c>
      <x:c r="N12" s="12" t="str"/>
    </x:row>
    <x:row r="13" ht="45" customHeight="1">
      <x:c r="A13" s="12" t="str">
        <x:v>US-012</x:v>
      </x:c>
      <x:c r="B13" s="12" t="str">
        <x:v>Wallet</x:v>
      </x:c>
      <x:c r="C13" s="12" t="str">
        <x:v>As a player, I can fund my demo wallet.</x:v>
      </x:c>
      <x:c r="D13" s="12" t="str">
        <x:v>Funding buttons increase balance, create ledger entries, and refresh dependent affordability states.</x:v>
      </x:c>
      <x:c r="E13" s="12" t="str">
        <x:v>design/kawaii-app/app.js: fundWallet, renderWalletManage, renderPools</x:v>
      </x:c>
      <x:c r="F13" s="12" t="str">
        <x:v>UI code inventoried; requires manual wallet pass.</x:v>
      </x:c>
      <x:c r="G13" s="12" t="str">
        <x:v>Click each funding amount; verify balance, ledger, bracket affordability, and no duplicate event errors.</x:v>
      </x:c>
      <x:c r="H13" s="12" t="str">
        <x:v>P1</x:v>
      </x:c>
      <x:c r="I13" s="12" t="str">
        <x:v>Integrated</x:v>
      </x:c>
      <x:c r="J13" s="12" t="str">
        <x:v>Not Run</x:v>
      </x:c>
      <x:c r="K13" s="12" t="str"/>
      <x:c r="L13" s="12" t="str">
        <x:v>None</x:v>
      </x:c>
      <x:c r="M13" s="12" t="str">
        <x:v>Not Run</x:v>
      </x:c>
      <x:c r="N13" s="12" t="str"/>
    </x:row>
    <x:row r="14" ht="45" customHeight="1">
      <x:c r="A14" s="12" t="str">
        <x:v>US-013</x:v>
      </x:c>
      <x:c r="B14" s="12" t="str">
        <x:v>Wallet</x:v>
      </x:c>
      <x:c r="C14" s="12" t="str">
        <x:v>As a winner, I can collect pending payouts into my balance.</x:v>
      </x:c>
      <x:c r="D14" s="12" t="str">
        <x:v>Collect moves pending payout to wallet balance, clears pending amount, and records ledger history.</x:v>
      </x:c>
      <x:c r="E14" s="12" t="str">
        <x:v>design/kawaii-app/app.js: collectPayouts, renderWalletManage</x:v>
      </x:c>
      <x:c r="F14" s="12" t="str">
        <x:v>UI code inventoried; requires payout scenario.</x:v>
      </x:c>
      <x:c r="G14" s="12" t="str">
        <x:v>Create a win/payout state, click Collect, verify balance, pending payout, and ledger line.</x:v>
      </x:c>
      <x:c r="H14" s="12" t="str">
        <x:v>P1</x:v>
      </x:c>
      <x:c r="I14" s="12" t="str">
        <x:v>Integrated</x:v>
      </x:c>
      <x:c r="J14" s="12" t="str">
        <x:v>Not Run</x:v>
      </x:c>
      <x:c r="K14" s="12" t="str"/>
      <x:c r="L14" s="12" t="str">
        <x:v>None</x:v>
      </x:c>
      <x:c r="M14" s="12" t="str">
        <x:v>Not Run</x:v>
      </x:c>
      <x:c r="N14" s="12" t="str"/>
    </x:row>
    <x:row r="15" ht="45" customHeight="1">
      <x:c r="A15" s="12" t="str">
        <x:v>US-014</x:v>
      </x:c>
      <x:c r="B15" s="12" t="str">
        <x:v>Wallet</x:v>
      </x:c>
      <x:c r="C15" s="12" t="str">
        <x:v>As a player, I am blocked from staking when my balance is too low.</x:v>
      </x:c>
      <x:c r="D15" s="12" t="str">
        <x:v>Pool entry or staked game attempts with insufficient funds are blocked with a clear route to funding.</x:v>
      </x:c>
      <x:c r="E15" s="12" t="str">
        <x:v>design/kawaii-app/app.js: debitWallet, enterSelectedPool, showStakeConfirm</x:v>
      </x:c>
      <x:c r="F15" s="12" t="str">
        <x:v>UI code inventoried; requires negative wallet pass.</x:v>
      </x:c>
      <x:c r="G15" s="12" t="str">
        <x:v>Set low balance, try paid pool and paid AI challenge; verify no debit and clear funding feedback.</x:v>
      </x:c>
      <x:c r="H15" s="12" t="str">
        <x:v>P0</x:v>
      </x:c>
      <x:c r="I15" s="12" t="str">
        <x:v>Integrated</x:v>
      </x:c>
      <x:c r="J15" s="12" t="str">
        <x:v>Not Run</x:v>
      </x:c>
      <x:c r="K15" s="12" t="str"/>
      <x:c r="L15" s="12" t="str">
        <x:v>None</x:v>
      </x:c>
      <x:c r="M15" s="12" t="str">
        <x:v>Not Run</x:v>
      </x:c>
      <x:c r="N15" s="12" t="str"/>
    </x:row>
    <x:row r="16" ht="45" customHeight="1">
      <x:c r="A16" s="12" t="str">
        <x:v>US-015</x:v>
      </x:c>
      <x:c r="B16" s="12" t="str">
        <x:v>Live Data Settings</x:v>
      </x:c>
      <x:c r="C16" s="12" t="str">
        <x:v>As an operator, I can configure a live match data source.</x:v>
      </x:c>
      <x:c r="D16" s="12" t="str">
        <x:v>Live settings save enabled flag, provider, API key, match id, proxy URL, and poll interval without exposing secrets unnecessarily.</x:v>
      </x:c>
      <x:c r="E16" s="12" t="str">
        <x:v>design/kawaii-app/app.js: renderLiveDataSettings, save/test listeners</x:v>
      </x:c>
      <x:c r="F16" s="12" t="str">
        <x:v>UI code inventoried; requires settings pass.</x:v>
      </x:c>
      <x:c r="G16" s="12" t="str">
        <x:v>Edit all live data fields, save, reload, and verify displayed settings and redaction behavior.</x:v>
      </x:c>
      <x:c r="H16" s="12" t="str">
        <x:v>P1</x:v>
      </x:c>
      <x:c r="I16" s="12" t="str">
        <x:v>Integrated</x:v>
      </x:c>
      <x:c r="J16" s="12" t="str">
        <x:v>Not Run</x:v>
      </x:c>
      <x:c r="K16" s="12" t="str"/>
      <x:c r="L16" s="12" t="str">
        <x:v>None</x:v>
      </x:c>
      <x:c r="M16" s="12" t="str">
        <x:v>Not Run</x:v>
      </x:c>
      <x:c r="N16" s="12" t="str"/>
    </x:row>
    <x:row r="17" ht="45" customHeight="1">
      <x:c r="A17" s="12" t="str">
        <x:v>US-016</x:v>
      </x:c>
      <x:c r="B17" s="12" t="str">
        <x:v>Live Data Settings</x:v>
      </x:c>
      <x:c r="C17" s="12" t="str">
        <x:v>As an operator, I can test the live API connection.</x:v>
      </x:c>
      <x:c r="D17" s="12" t="str">
        <x:v>Test button reports success or a readable error and does not break the simulated feed fallback.</x:v>
      </x:c>
      <x:c r="E17" s="12" t="str">
        <x:v>design/kawaii-app/app.js: apiRequest, createApiLiveFeed, live settings test handler</x:v>
      </x:c>
      <x:c r="F17" s="12" t="str">
        <x:v>UI code inventoried; requires API/fallback pass.</x:v>
      </x:c>
      <x:c r="G17" s="12" t="str">
        <x:v>Test with blank, bad, and known-good local proxy settings; verify error/success messaging and fallback.</x:v>
      </x:c>
      <x:c r="H17" s="12" t="str">
        <x:v>P2</x:v>
      </x:c>
      <x:c r="I17" s="12" t="str">
        <x:v>Integrated</x:v>
      </x:c>
      <x:c r="J17" s="12" t="str">
        <x:v>Not Run</x:v>
      </x:c>
      <x:c r="K17" s="12" t="str"/>
      <x:c r="L17" s="12" t="str">
        <x:v>None</x:v>
      </x:c>
      <x:c r="M17" s="12" t="str">
        <x:v>Not Run</x:v>
      </x:c>
      <x:c r="N17" s="12" t="str"/>
    </x:row>
    <x:row r="18" ht="45" customHeight="1">
      <x:c r="A18" s="12" t="str">
        <x:v>US-017</x:v>
      </x:c>
      <x:c r="B18" s="12" t="str">
        <x:v>Home</x:v>
      </x:c>
      <x:c r="C18" s="12" t="str">
        <x:v>As a fan, I can see the current match headline and live state on Home.</x:v>
      </x:c>
      <x:c r="D18" s="12" t="str">
        <x:v>Hero shows teams, flags, score, clock/status, room count, and activity without stale or missing labels.</x:v>
      </x:c>
      <x:c r="E18" s="12" t="str">
        <x:v>design/kawaii-app/index.html: hero IDs; design/kawaii-app/app.js: renderHomeHero</x:v>
      </x:c>
      <x:c r="F18" s="12" t="str">
        <x:v>Browser smoke confirmed Home expected containers exist.</x:v>
      </x:c>
      <x:c r="G18" s="12" t="str">
        <x:v>Open Home, verify hero labels, score, state, clock, and team flags after at least one feed tick.</x:v>
      </x:c>
      <x:c r="H18" s="12" t="str">
        <x:v>P1</x:v>
      </x:c>
      <x:c r="I18" s="12" t="str">
        <x:v>Integrated</x:v>
      </x:c>
      <x:c r="J18" s="12" t="str">
        <x:v>Not Run</x:v>
      </x:c>
      <x:c r="K18" s="12" t="str"/>
      <x:c r="L18" s="12" t="str">
        <x:v>None</x:v>
      </x:c>
      <x:c r="M18" s="12" t="str">
        <x:v>Not Run</x:v>
      </x:c>
      <x:c r="N18" s="12" t="str"/>
    </x:row>
    <x:row r="19" ht="45" customHeight="1">
      <x:c r="A19" s="12" t="str">
        <x:v>US-018</x:v>
      </x:c>
      <x:c r="B19" s="12" t="str">
        <x:v>Home</x:v>
      </x:c>
      <x:c r="C19" s="12" t="str">
        <x:v>As a fan, I can switch live dashboard tabs.</x:v>
      </x:c>
      <x:c r="D19" s="12" t="str">
        <x:v>Overview, Stats, Rooms, QVAC, and Pools tabs render the correct panel content and active state.</x:v>
      </x:c>
      <x:c r="E19" s="12" t="str">
        <x:v>design/kawaii-app/app.js: renderHomeDashboard, renderLivePanel, liveMenu listeners</x:v>
      </x:c>
      <x:c r="F19" s="12" t="str">
        <x:v>UI code inventoried; requires tab pass.</x:v>
      </x:c>
      <x:c r="G19" s="12" t="str">
        <x:v>Click each live menu tab, verify content changes and no layout overlap on desktop and mobile widths.</x:v>
      </x:c>
      <x:c r="H19" s="12" t="str">
        <x:v>P1</x:v>
      </x:c>
      <x:c r="I19" s="12" t="str">
        <x:v>Integrated</x:v>
      </x:c>
      <x:c r="J19" s="12" t="str">
        <x:v>Not Run</x:v>
      </x:c>
      <x:c r="K19" s="12" t="str"/>
      <x:c r="L19" s="12" t="str">
        <x:v>None</x:v>
      </x:c>
      <x:c r="M19" s="12" t="str">
        <x:v>Not Run</x:v>
      </x:c>
      <x:c r="N19" s="12" t="str"/>
    </x:row>
    <x:row r="20" ht="45" customHeight="1">
      <x:c r="A20" s="12" t="str">
        <x:v>US-019</x:v>
      </x:c>
      <x:c r="B20" s="12" t="str">
        <x:v>Home</x:v>
      </x:c>
      <x:c r="C20" s="12" t="str">
        <x:v>As a player, I can discover bracket pools from Home.</x:v>
      </x:c>
      <x:c r="D20" s="12" t="str">
        <x:v>Pool cards show tier, stake, prize, entrants, affordability, and route to Bracket when selected.</x:v>
      </x:c>
      <x:c r="E20" s="12" t="str">
        <x:v>design/kawaii-app/app.js: renderPools, #poolGrid</x:v>
      </x:c>
      <x:c r="F20" s="12" t="str">
        <x:v>Browser smoke confirmed #poolGrid exists.</x:v>
      </x:c>
      <x:c r="G20" s="12" t="str">
        <x:v>Inspect pool cards at different balances; click a pool CTA; verify Bracket opens with matching selected pool.</x:v>
      </x:c>
      <x:c r="H20" s="12" t="str">
        <x:v>P1</x:v>
      </x:c>
      <x:c r="I20" s="12" t="str">
        <x:v>Integrated</x:v>
      </x:c>
      <x:c r="J20" s="12" t="str">
        <x:v>Not Run</x:v>
      </x:c>
      <x:c r="K20" s="12" t="str"/>
      <x:c r="L20" s="12" t="str">
        <x:v>None</x:v>
      </x:c>
      <x:c r="M20" s="12" t="str">
        <x:v>Not Run</x:v>
      </x:c>
      <x:c r="N20" s="12" t="str"/>
    </x:row>
    <x:row r="21" ht="45" customHeight="1">
      <x:c r="A21" s="12" t="str">
        <x:v>US-020</x:v>
      </x:c>
      <x:c r="B21" s="12" t="str">
        <x:v>Home</x:v>
      </x:c>
      <x:c r="C21" s="12" t="str">
        <x:v>As a fan, I can jump from fixtures to the watch room.</x:v>
      </x:c>
      <x:c r="D21" s="12" t="str">
        <x:v>Fixture rail indicates live/upcoming state and opens Watch without losing feed state.</x:v>
      </x:c>
      <x:c r="E21" s="12" t="str">
        <x:v>design/kawaii-app/app.js: renderHomeDashboard, fixture buttons data-view=watch</x:v>
      </x:c>
      <x:c r="F21" s="12" t="str">
        <x:v>UI code inventoried; requires fixture CTA pass.</x:v>
      </x:c>
      <x:c r="G21" s="12" t="str">
        <x:v>Click live fixture CTA from Home; verify Watch screen opens and match data matches the Home hero.</x:v>
      </x:c>
      <x:c r="H21" s="12" t="str">
        <x:v>P2</x:v>
      </x:c>
      <x:c r="I21" s="12" t="str">
        <x:v>Integrated</x:v>
      </x:c>
      <x:c r="J21" s="12" t="str">
        <x:v>Not Run</x:v>
      </x:c>
      <x:c r="K21" s="12" t="str"/>
      <x:c r="L21" s="12" t="str">
        <x:v>None</x:v>
      </x:c>
      <x:c r="M21" s="12" t="str">
        <x:v>Not Run</x:v>
      </x:c>
      <x:c r="N21" s="12" t="str"/>
    </x:row>
    <x:row r="22" ht="45" customHeight="1">
      <x:c r="A22" s="12" t="str">
        <x:v>US-021</x:v>
      </x:c>
      <x:c r="B22" s="12" t="str">
        <x:v>Home</x:v>
      </x:c>
      <x:c r="C22" s="12" t="str">
        <x:v>As a player, I can scan leaderboard and room signal panels.</x:v>
      </x:c>
      <x:c r="D22" s="12" t="str">
        <x:v>Leader and signal panels display user/peer/runtime status with no empty or contradictory labels.</x:v>
      </x:c>
      <x:c r="E22" s="12" t="str">
        <x:v>design/kawaii-app/index.html: #leaderPanel, #signalPanel; design/kawaii-app/app.js: renderHomeDashboard</x:v>
      </x:c>
      <x:c r="F22" s="12" t="str">
        <x:v>Browser smoke confirmed #leaderPanel exists.</x:v>
      </x:c>
      <x:c r="G22" s="12" t="str">
        <x:v>Open Home after joining watch/game room; verify leaderboard rows, room signal, and runtime status copy.</x:v>
      </x:c>
      <x:c r="H22" s="12" t="str">
        <x:v>P2</x:v>
      </x:c>
      <x:c r="I22" s="12" t="str">
        <x:v>Integrated</x:v>
      </x:c>
      <x:c r="J22" s="12" t="str">
        <x:v>Not Run</x:v>
      </x:c>
      <x:c r="K22" s="12" t="str"/>
      <x:c r="L22" s="12" t="str">
        <x:v>None</x:v>
      </x:c>
      <x:c r="M22" s="12" t="str">
        <x:v>Not Run</x:v>
      </x:c>
      <x:c r="N22" s="12" t="str"/>
    </x:row>
    <x:row r="23" ht="45" customHeight="1">
      <x:c r="A23" s="12" t="str">
        <x:v>US-022</x:v>
      </x:c>
      <x:c r="B23" s="12" t="str">
        <x:v>Bracket Pools</x:v>
      </x:c>
      <x:c r="C23" s="12" t="str">
        <x:v>As a player, I can choose a bracket pool tier.</x:v>
      </x:c>
      <x:c r="D23" s="12" t="str">
        <x:v>Tier selector shows current pool, stake, prize, entrants, affordability, and entered state.</x:v>
      </x:c>
      <x:c r="E23" s="12" t="str">
        <x:v>design/kawaii-app/index.html: #bracketPoolSelect; design/kawaii-app/app.js: renderPoolSelect</x:v>
      </x:c>
      <x:c r="F23" s="12" t="str">
        <x:v>Browser smoke confirmed selector exists.</x:v>
      </x:c>
      <x:c r="G23" s="12" t="str">
        <x:v>Open Bracket, switch each tier, verify prize/stake/entrant/affordability details update.</x:v>
      </x:c>
      <x:c r="H23" s="12" t="str">
        <x:v>P1</x:v>
      </x:c>
      <x:c r="I23" s="12" t="str">
        <x:v>Integrated</x:v>
      </x:c>
      <x:c r="J23" s="12" t="str">
        <x:v>Not Run</x:v>
      </x:c>
      <x:c r="K23" s="12" t="str"/>
      <x:c r="L23" s="12" t="str">
        <x:v>None</x:v>
      </x:c>
      <x:c r="M23" s="12" t="str">
        <x:v>Not Run</x:v>
      </x:c>
      <x:c r="N23" s="12" t="str"/>
    </x:row>
    <x:row r="24" ht="45" customHeight="1">
      <x:c r="A24" s="12" t="str">
        <x:v>US-023</x:v>
      </x:c>
      <x:c r="B24" s="12" t="str">
        <x:v>Bracket Pools</x:v>
      </x:c>
      <x:c r="C24" s="12" t="str">
        <x:v>As a player, I can enter a selected bracket pool.</x:v>
      </x:c>
      <x:c r="D24" s="12" t="str">
        <x:v>Entry records an intent/payment through the worker-backed WDK adapter, debits wallet, and shows me in entrants.</x:v>
      </x:c>
      <x:c r="E24" s="12" t="str">
        <x:v>design/kawaii-app/app.js: enterSelectedPool, createBracketSettlementWorker, createBracketUiTetherWdkAdapter</x:v>
      </x:c>
      <x:c r="F24" s="12" t="str">
        <x:v>npm run check: WDK entry intent and worker pool tests passed.</x:v>
      </x:c>
      <x:c r="G24" s="12" t="str">
        <x:v>Fund wallet, select tier, enter pool, verify debit, entrants list, WDK payment/audit panel, and persistence.</x:v>
      </x:c>
      <x:c r="H24" s="12" t="str">
        <x:v>P0</x:v>
      </x:c>
      <x:c r="I24" s="12" t="str">
        <x:v>Integrated</x:v>
      </x:c>
      <x:c r="J24" s="12" t="str">
        <x:v>Not Run</x:v>
      </x:c>
      <x:c r="K24" s="12" t="str"/>
      <x:c r="L24" s="12" t="str">
        <x:v>None</x:v>
      </x:c>
      <x:c r="M24" s="12" t="str">
        <x:v>Not Run</x:v>
      </x:c>
      <x:c r="N24" s="12" t="str"/>
    </x:row>
    <x:row r="25" ht="45" customHeight="1">
      <x:c r="A25" s="12" t="str">
        <x:v>US-024</x:v>
      </x:c>
      <x:c r="B25" s="12" t="str">
        <x:v>Bracket Pools</x:v>
      </x:c>
      <x:c r="C25" s="12" t="str">
        <x:v>As a player, I can see all entrants for my selected pool.</x:v>
      </x:c>
      <x:c r="D25" s="12" t="str">
        <x:v>Entrants list includes current user plus demo entrants with team/entry/score details and no duplicate rows.</x:v>
      </x:c>
      <x:c r="E25" s="12" t="str">
        <x:v>design/kawaii-app/index.html: #bracketEntrants; design/kawaii-app/app.js: renderBracketEntrants</x:v>
      </x:c>
      <x:c r="F25" s="12" t="str">
        <x:v>UI code inventoried; requires entrant pass.</x:v>
      </x:c>
      <x:c r="G25" s="12" t="str">
        <x:v>Enter multiple tiers and reload; verify current user appears once in the selected tier and demo entrants remain stable.</x:v>
      </x:c>
      <x:c r="H25" s="12" t="str">
        <x:v>P2</x:v>
      </x:c>
      <x:c r="I25" s="12" t="str">
        <x:v>Integrated</x:v>
      </x:c>
      <x:c r="J25" s="12" t="str">
        <x:v>Not Run</x:v>
      </x:c>
      <x:c r="K25" s="12" t="str"/>
      <x:c r="L25" s="12" t="str">
        <x:v>None</x:v>
      </x:c>
      <x:c r="M25" s="12" t="str">
        <x:v>Not Run</x:v>
      </x:c>
      <x:c r="N25" s="12" t="str"/>
    </x:row>
    <x:row r="26" ht="45" customHeight="1">
      <x:c r="A26" s="12" t="str">
        <x:v>US-025</x:v>
      </x:c>
      <x:c r="B26" s="12" t="str">
        <x:v>Bracket Board</x:v>
      </x:c>
      <x:c r="C26" s="12" t="str">
        <x:v>As a player, I can complete a knockout bracket.</x:v>
      </x:c>
      <x:c r="D26" s="12" t="str">
        <x:v>Round of 16, quarterfinal, semifinal, final, and champion slots render with connector lines and clickable teams.</x:v>
      </x:c>
      <x:c r="E26" s="12" t="str">
        <x:v>design/kawaii-app/app.js: buildRounds, makeMatch, renderTeamRow, scheduleBracketConnectors</x:v>
      </x:c>
      <x:c r="F26" s="12" t="str">
        <x:v>Browser smoke confirmed #bracketBoard exists.</x:v>
      </x:c>
      <x:c r="G26" s="12" t="str">
        <x:v>Pick winners through every round; verify downstream slots populate and connector lines stay aligned after resize.</x:v>
      </x:c>
      <x:c r="H26" s="12" t="str">
        <x:v>P0</x:v>
      </x:c>
      <x:c r="I26" s="12" t="str">
        <x:v>Integrated</x:v>
      </x:c>
      <x:c r="J26" s="12" t="str">
        <x:v>Not Run</x:v>
      </x:c>
      <x:c r="K26" s="12" t="str"/>
      <x:c r="L26" s="12" t="str">
        <x:v>None</x:v>
      </x:c>
      <x:c r="M26" s="12" t="str">
        <x:v>Not Run</x:v>
      </x:c>
      <x:c r="N26" s="12" t="str"/>
    </x:row>
    <x:row r="27" ht="45" customHeight="1">
      <x:c r="A27" s="12" t="str">
        <x:v>US-026</x:v>
      </x:c>
      <x:c r="B27" s="12" t="str">
        <x:v>Bracket Board</x:v>
      </x:c>
      <x:c r="C27" s="12" t="str">
        <x:v>As a player, if I change an upstream pick, downstream invalid picks are cleared.</x:v>
      </x:c>
      <x:c r="D27" s="12" t="str">
        <x:v>Changing an earlier match removes affected downstream picks while preserving unrelated picks.</x:v>
      </x:c>
      <x:c r="E27" s="12" t="str">
        <x:v>design/kawaii-app/app.js: getPick, clearDownstream, match-card click handler</x:v>
      </x:c>
      <x:c r="F27" s="12" t="str">
        <x:v>UI code inventoried; requires change-pick pass.</x:v>
      </x:c>
      <x:c r="G27" s="12" t="str">
        <x:v>Complete bracket, change an R16 pick, verify QF/SF/final dependent picks clear and unrelated branches stay intact.</x:v>
      </x:c>
      <x:c r="H27" s="12" t="str">
        <x:v>P0</x:v>
      </x:c>
      <x:c r="I27" s="12" t="str">
        <x:v>Integrated</x:v>
      </x:c>
      <x:c r="J27" s="12" t="str">
        <x:v>Not Run</x:v>
      </x:c>
      <x:c r="K27" s="12" t="str"/>
      <x:c r="L27" s="12" t="str">
        <x:v>None</x:v>
      </x:c>
      <x:c r="M27" s="12" t="str">
        <x:v>Not Run</x:v>
      </x:c>
      <x:c r="N27" s="12" t="str"/>
    </x:row>
    <x:row r="28" ht="45" customHeight="1">
      <x:c r="A28" s="12" t="str">
        <x:v>US-027</x:v>
      </x:c>
      <x:c r="B28" s="12" t="str">
        <x:v>Bracket Board</x:v>
      </x:c>
      <x:c r="C28" s="12" t="str">
        <x:v>As a player, I can reset my draft picks.</x:v>
      </x:c>
      <x:c r="D28" s="12" t="str">
        <x:v>Reset clears draft picks, rerenders the bracket, and does not affect pool entries or wallet ledger.</x:v>
      </x:c>
      <x:c r="E28" s="12" t="str">
        <x:v>design/kawaii-app/index.html: #resetPicks; design/kawaii-app/app.js: reset listener</x:v>
      </x:c>
      <x:c r="F28" s="12" t="str">
        <x:v>UI code inventoried; requires reset pass.</x:v>
      </x:c>
      <x:c r="G28" s="12" t="str">
        <x:v>Make several picks, reset, verify board clears and entry/payment state remains.</x:v>
      </x:c>
      <x:c r="H28" s="12" t="str">
        <x:v>P1</x:v>
      </x:c>
      <x:c r="I28" s="12" t="str">
        <x:v>Integrated</x:v>
      </x:c>
      <x:c r="J28" s="12" t="str">
        <x:v>Not Run</x:v>
      </x:c>
      <x:c r="K28" s="12" t="str"/>
      <x:c r="L28" s="12" t="str">
        <x:v>None</x:v>
      </x:c>
      <x:c r="M28" s="12" t="str">
        <x:v>Not Run</x:v>
      </x:c>
      <x:c r="N28" s="12" t="str"/>
    </x:row>
    <x:row r="29" ht="45" customHeight="1">
      <x:c r="A29" s="12" t="str">
        <x:v>US-028</x:v>
      </x:c>
      <x:c r="B29" s="12" t="str">
        <x:v>Bracket Board</x:v>
      </x:c>
      <x:c r="C29" s="12" t="str">
        <x:v>As a player, I cannot submit an incomplete bracket.</x:v>
      </x:c>
      <x:c r="D29" s="12" t="str">
        <x:v>Submit blocks incomplete picks with clear feedback and no settlement/submission event.</x:v>
      </x:c>
      <x:c r="E29" s="12" t="str">
        <x:v>design/kawaii-app/index.html: #submitPicks; design/kawaii-app/app.js: submit listener</x:v>
      </x:c>
      <x:c r="F29" s="12" t="str">
        <x:v>UI code inventoried; requires negative submit pass.</x:v>
      </x:c>
      <x:c r="G29" s="12" t="str">
        <x:v>Submit after only one or two picks; verify error feedback and no submission/audit row is created.</x:v>
      </x:c>
      <x:c r="H29" s="12" t="str">
        <x:v>P0</x:v>
      </x:c>
      <x:c r="I29" s="12" t="str">
        <x:v>Integrated</x:v>
      </x:c>
      <x:c r="J29" s="12" t="str">
        <x:v>Not Run</x:v>
      </x:c>
      <x:c r="K29" s="12" t="str"/>
      <x:c r="L29" s="12" t="str">
        <x:v>None</x:v>
      </x:c>
      <x:c r="M29" s="12" t="str">
        <x:v>Not Run</x:v>
      </x:c>
      <x:c r="N29" s="12" t="str"/>
    </x:row>
    <x:row r="30" ht="45" customHeight="1">
      <x:c r="A30" s="12" t="str">
        <x:v>US-029</x:v>
      </x:c>
      <x:c r="B30" s="12" t="str">
        <x:v>Bracket Board</x:v>
      </x:c>
      <x:c r="C30" s="12" t="str">
        <x:v>As a player, I can submit a completed bracket.</x:v>
      </x:c>
      <x:c r="D30" s="12" t="str">
        <x:v>Complete picks lock/record the submission, update entered count/audit panels, and preserve picks after reload.</x:v>
      </x:c>
      <x:c r="E30" s="12" t="str">
        <x:v>design/kawaii-app/app.js: submit picks flow, renderEntryLedger, renderBracketStats</x:v>
      </x:c>
      <x:c r="F30" s="12" t="str">
        <x:v>npm run check: worker profile/bracket draft and bracket submission signer tests passed.</x:v>
      </x:c>
      <x:c r="G30" s="12" t="str">
        <x:v>Complete all picks, submit, reload, verify submitted state, worker evidence, and no signer/route warnings.</x:v>
      </x:c>
      <x:c r="H30" s="12" t="str">
        <x:v>P0</x:v>
      </x:c>
      <x:c r="I30" s="12" t="str">
        <x:v>Integrated</x:v>
      </x:c>
      <x:c r="J30" s="12" t="str">
        <x:v>Not Run</x:v>
      </x:c>
      <x:c r="K30" s="12" t="str"/>
      <x:c r="L30" s="12" t="str">
        <x:v>None</x:v>
      </x:c>
      <x:c r="M30" s="12" t="str">
        <x:v>Not Run</x:v>
      </x:c>
      <x:c r="N30" s="12" t="str"/>
    </x:row>
    <x:row r="31" ht="45" customHeight="1">
      <x:c r="A31" s="12" t="str">
        <x:v>US-030</x:v>
      </x:c>
      <x:c r="B31" s="12" t="str">
        <x:v>Bracket Settlement</x:v>
      </x:c>
      <x:c r="C31" s="12" t="str">
        <x:v>As an operator, bracket pool settlement is auditable through WDK, QVAC, payout, and receipt panels.</x:v>
      </x:c>
      <x:c r="D31" s="12" t="str">
        <x:v>Audit accordions display entry intents, confirmations, official result source, QVAC attestation, WDK payout, and settlement receipt.</x:v>
      </x:c>
      <x:c r="E31" s="12" t="str">
        <x:v>design/kawaii-app/index.html: #bracketStats, #bracketEntriesPanel, #bracketAudit; app/worker-sim.js</x:v>
      </x:c>
      <x:c r="F31" s="12" t="str">
        <x:v>npm run check: trusted pool settlement tests passed.</x:v>
      </x:c>
      <x:c r="G31" s="12" t="str">
        <x:v>Enter pool, submit bracket, trigger settlement scenario, inspect all audit accordions and verify receipt fields are populated.</x:v>
      </x:c>
      <x:c r="H31" s="12" t="str">
        <x:v>P0</x:v>
      </x:c>
      <x:c r="I31" s="12" t="str">
        <x:v>Integrated</x:v>
      </x:c>
      <x:c r="J31" s="12" t="str">
        <x:v>Not Run</x:v>
      </x:c>
      <x:c r="K31" s="12" t="str"/>
      <x:c r="L31" s="12" t="str">
        <x:v>None</x:v>
      </x:c>
      <x:c r="M31" s="12" t="str">
        <x:v>Not Run</x:v>
      </x:c>
      <x:c r="N31" s="12" t="str"/>
    </x:row>
    <x:row r="32" ht="45" customHeight="1">
      <x:c r="A32" s="12" t="str">
        <x:v>US-031</x:v>
      </x:c>
      <x:c r="B32" s="12" t="str">
        <x:v>Bracket Settlement</x:v>
      </x:c>
      <x:c r="C32" s="12" t="str">
        <x:v>As a winner, I can provide payout recipient details.</x:v>
      </x:c>
      <x:c r="D32" s="12" t="str">
        <x:v>Recipient controls save player route, demo helper fills a route, and WDK payout retries once the route exists.</x:v>
      </x:c>
      <x:c r="E32" s="12" t="str">
        <x:v>design/kawaii-app/app.js: renderPayoutRecipients, bindPayoutControls; app/settlement-service.js</x:v>
      </x:c>
      <x:c r="F32" s="12" t="str">
        <x:v>npm run check: recipient declaration and retry tests passed.</x:v>
      </x:c>
      <x:c r="G32" s="12" t="str">
        <x:v>Attempt payout without recipient, save route, retry settlement, verify recipient evidence and payout route.</x:v>
      </x:c>
      <x:c r="H32" s="12" t="str">
        <x:v>P0</x:v>
      </x:c>
      <x:c r="I32" s="12" t="str">
        <x:v>Integrated</x:v>
      </x:c>
      <x:c r="J32" s="12" t="str">
        <x:v>Not Run</x:v>
      </x:c>
      <x:c r="K32" s="12" t="str"/>
      <x:c r="L32" s="12" t="str">
        <x:v>None</x:v>
      </x:c>
      <x:c r="M32" s="12" t="str">
        <x:v>Not Run</x:v>
      </x:c>
      <x:c r="N32" s="12" t="str"/>
    </x:row>
    <x:row r="33" ht="45" customHeight="1">
      <x:c r="A33" s="12" t="str">
        <x:v>US-032</x:v>
      </x:c>
      <x:c r="B33" s="12" t="str">
        <x:v>Watch Party</x:v>
      </x:c>
      <x:c r="C33" s="12" t="str">
        <x:v>As a fan, I can open a watch room with a live TV surface.</x:v>
      </x:c>
      <x:c r="D33" s="12" t="str">
        <x:v>Watch screen shows match title, scorebug, clock, pitch, live board, and stats without empty placeholders.</x:v>
      </x:c>
      <x:c r="E33" s="12" t="str">
        <x:v>design/kawaii-app/index.html: #watch, #tvPitch, #tvClock, #tvScore, #tvLiveBoard; app.js: renderWatch</x:v>
      </x:c>
      <x:c r="F33" s="12" t="str">
        <x:v>Browser smoke confirmed Watch core elements exist.</x:v>
      </x:c>
      <x:c r="G33" s="12" t="str">
        <x:v>Open Watch, wait for feed tick, verify TV surface, scorebug, pitch markers, and stats update.</x:v>
      </x:c>
      <x:c r="H33" s="12" t="str">
        <x:v>P1</x:v>
      </x:c>
      <x:c r="I33" s="12" t="str">
        <x:v>Integrated</x:v>
      </x:c>
      <x:c r="J33" s="12" t="str">
        <x:v>Not Run</x:v>
      </x:c>
      <x:c r="K33" s="12" t="str"/>
      <x:c r="L33" s="12" t="str">
        <x:v>None</x:v>
      </x:c>
      <x:c r="M33" s="12" t="str">
        <x:v>Not Run</x:v>
      </x:c>
      <x:c r="N33" s="12" t="str"/>
    </x:row>
    <x:row r="34" ht="45" customHeight="1">
      <x:c r="A34" s="12" t="str">
        <x:v>US-033</x:v>
      </x:c>
      <x:c r="B34" s="12" t="str">
        <x:v>Watch Party</x:v>
      </x:c>
      <x:c r="C34" s="12" t="str">
        <x:v>As a multilingual fan, I can switch QVAC commentary language.</x:v>
      </x:c>
      <x:c r="D34" s="12" t="str">
        <x:v>Language tabs update selected state and commentary feed uses the chosen language or safe fallback translation.</x:v>
      </x:c>
      <x:c r="E34" s="12" t="str">
        <x:v>design/kawaii-app/app.js: WATCH_LANGS, COMMENTARY_TEMPLATES, renderCommentaryFeed, languageTabs listener</x:v>
      </x:c>
      <x:c r="F34" s="12" t="str">
        <x:v>npm run check: QVAC commentary grounding tests passed.</x:v>
      </x:c>
      <x:c r="G34" s="12" t="str">
        <x:v>Switch each language tab while feed is active; verify labels, commentary, and no repeated stale lines.</x:v>
      </x:c>
      <x:c r="H34" s="12" t="str">
        <x:v>P2</x:v>
      </x:c>
      <x:c r="I34" s="12" t="str">
        <x:v>Integrated</x:v>
      </x:c>
      <x:c r="J34" s="12" t="str">
        <x:v>Not Run</x:v>
      </x:c>
      <x:c r="K34" s="12" t="str"/>
      <x:c r="L34" s="12" t="str">
        <x:v>None</x:v>
      </x:c>
      <x:c r="M34" s="12" t="str">
        <x:v>Not Run</x:v>
      </x:c>
      <x:c r="N34" s="12" t="str"/>
    </x:row>
    <x:row r="35" ht="45" customHeight="1">
      <x:c r="A35" s="12" t="str">
        <x:v>US-034</x:v>
      </x:c>
      <x:c r="B35" s="12" t="str">
        <x:v>Watch Party</x:v>
      </x:c>
      <x:c r="C35" s="12" t="str">
        <x:v>As a fan, I receive simulated, relay, or API feed updates in the watch room.</x:v>
      </x:c>
      <x:c r="D35" s="12" t="str">
        <x:v>Feed source badge reflects sim/API/relay, and score/stats/commentary update from source-signed events.</x:v>
      </x:c>
      <x:c r="E35" s="12" t="str">
        <x:v>design/kawaii-app/app.js: createSimLiveFeed, createApiLiveFeed, live-match.json relay, startLiveFeed</x:v>
      </x:c>
      <x:c r="F35" s="12" t="str">
        <x:v>npm run check: source-signed match event and QVAC commentary worker tests passed.</x:v>
      </x:c>
      <x:c r="G35" s="12" t="str">
        <x:v>Run with simulation, local relay file, and API settings; verify source badge, stat changes, and commentary updates.</x:v>
      </x:c>
      <x:c r="H35" s="12" t="str">
        <x:v>P1</x:v>
      </x:c>
      <x:c r="I35" s="12" t="str">
        <x:v>Integrated</x:v>
      </x:c>
      <x:c r="J35" s="12" t="str">
        <x:v>Not Run</x:v>
      </x:c>
      <x:c r="K35" s="12" t="str"/>
      <x:c r="L35" s="12" t="str">
        <x:v>None</x:v>
      </x:c>
      <x:c r="M35" s="12" t="str">
        <x:v>Not Run</x:v>
      </x:c>
      <x:c r="N35" s="12" t="str"/>
    </x:row>
    <x:row r="36" ht="45" customHeight="1">
      <x:c r="A36" s="12" t="str">
        <x:v>US-035</x:v>
      </x:c>
      <x:c r="B36" s="12" t="str">
        <x:v>Watch Party</x:v>
      </x:c>
      <x:c r="C36" s="12" t="str">
        <x:v>As a fan, I can chat in the watch room.</x:v>
      </x:c>
      <x:c r="D36" s="12" t="str">
        <x:v>Chat form appends local messages, signs/broadcasts room state through watch sync, and survives worker replay checks.</x:v>
      </x:c>
      <x:c r="E36" s="12" t="str">
        <x:v>design/kawaii-app/index.html: #chatForm, #chatInput; design/kawaii-app/watch-sync.js</x:v>
      </x:c>
      <x:c r="F36" s="12" t="str">
        <x:v>npm run check: worker watch-party ownership and forged event tests passed.</x:v>
      </x:c>
      <x:c r="G36" s="12" t="str">
        <x:v>Send chat locally and across two browser windows; verify message order, user label, and no duplicate/forged entries.</x:v>
      </x:c>
      <x:c r="H36" s="12" t="str">
        <x:v>P1</x:v>
      </x:c>
      <x:c r="I36" s="12" t="str">
        <x:v>Integrated</x:v>
      </x:c>
      <x:c r="J36" s="12" t="str">
        <x:v>Not Run</x:v>
      </x:c>
      <x:c r="K36" s="12" t="str"/>
      <x:c r="L36" s="12" t="str">
        <x:v>None</x:v>
      </x:c>
      <x:c r="M36" s="12" t="str">
        <x:v>Not Run</x:v>
      </x:c>
      <x:c r="N36" s="12" t="str"/>
    </x:row>
    <x:row r="37" ht="45" customHeight="1">
      <x:c r="A37" s="12" t="str">
        <x:v>US-036</x:v>
      </x:c>
      <x:c r="B37" s="12" t="str">
        <x:v>Watch Party</x:v>
      </x:c>
      <x:c r="C37" s="12" t="str">
        <x:v>As a fan, I can toggle voice room state.</x:v>
      </x:c>
      <x:c r="D37" s="12" t="str">
        <x:v>Voice toggle changes live/muted state, updates room copy, and records worker-owned social state safely.</x:v>
      </x:c>
      <x:c r="E37" s="12" t="str">
        <x:v>design/kawaii-app/index.html: #voiceToggle; design/kawaii-app/app.js: voice listener; watch-sync.js</x:v>
      </x:c>
      <x:c r="F37" s="12" t="str">
        <x:v>npm run check: watch-party social state tests passed.</x:v>
      </x:c>
      <x:c r="G37" s="12" t="str">
        <x:v>Toggle voice on/off; verify button state, participant panel, worker replay state, and reload behavior.</x:v>
      </x:c>
      <x:c r="H37" s="12" t="str">
        <x:v>P2</x:v>
      </x:c>
      <x:c r="I37" s="12" t="str">
        <x:v>Integrated</x:v>
      </x:c>
      <x:c r="J37" s="12" t="str">
        <x:v>Not Run</x:v>
      </x:c>
      <x:c r="K37" s="12" t="str"/>
      <x:c r="L37" s="12" t="str">
        <x:v>None</x:v>
      </x:c>
      <x:c r="M37" s="12" t="str">
        <x:v>Not Run</x:v>
      </x:c>
      <x:c r="N37" s="12" t="str"/>
    </x:row>
    <x:row r="38" ht="45" customHeight="1">
      <x:c r="A38" s="12" t="str">
        <x:v>US-037</x:v>
      </x:c>
      <x:c r="B38" s="12" t="str">
        <x:v>Watch Party</x:v>
      </x:c>
      <x:c r="C38" s="12" t="str">
        <x:v>As a host, I can invite others to the watch room.</x:v>
      </x:c>
      <x:c r="D38" s="12" t="str">
        <x:v>Invite/share opens a room share bar or copies a link with a stable room code.</x:v>
      </x:c>
      <x:c r="E38" s="12" t="str">
        <x:v>design/kawaii-app/index.html: #shareGameBtn, #roomShareBar; app.js: toggleInviteBar</x:v>
      </x:c>
      <x:c r="F38" s="12" t="str">
        <x:v>UI code inventoried; requires clipboard/share pass.</x:v>
      </x:c>
      <x:c r="G38" s="12" t="str">
        <x:v>Click invite/share, verify room link appears or clipboard path succeeds, and the UI is reversible.</x:v>
      </x:c>
      <x:c r="H38" s="12" t="str">
        <x:v>P2</x:v>
      </x:c>
      <x:c r="I38" s="12" t="str">
        <x:v>Integrated</x:v>
      </x:c>
      <x:c r="J38" s="12" t="str">
        <x:v>Not Run</x:v>
      </x:c>
      <x:c r="K38" s="12" t="str"/>
      <x:c r="L38" s="12" t="str">
        <x:v>None</x:v>
      </x:c>
      <x:c r="M38" s="12" t="str">
        <x:v>Not Run</x:v>
      </x:c>
      <x:c r="N38" s="12" t="str"/>
    </x:row>
    <x:row r="39" ht="45" customHeight="1">
      <x:c r="A39" s="12" t="str">
        <x:v>US-038</x:v>
      </x:c>
      <x:c r="B39" s="12" t="str">
        <x:v>Watch Party</x:v>
      </x:c>
      <x:c r="C39" s="12" t="str">
        <x:v>As a host, I can share my screen when supported.</x:v>
      </x:c>
      <x:c r="D39" s="12" t="str">
        <x:v>Screen share starts/stops in capable browsers and falls back with clear unsupported feedback when media APIs are unavailable.</x:v>
      </x:c>
      <x:c r="E39" s="12" t="str">
        <x:v>design/kawaii-app/index.html: #shareScreenBtn, #shareVideo, #shareBadge; app.js: screen share handlers</x:v>
      </x:c>
      <x:c r="F39" s="12" t="str">
        <x:v>UI code inventoried; requires permission-aware pass.</x:v>
      </x:c>
      <x:c r="G39" s="12" t="str">
        <x:v>Test in supported and unsupported contexts; verify permission prompts are user-controlled and UI state resets after stop.</x:v>
      </x:c>
      <x:c r="H39" s="12" t="str">
        <x:v>P2</x:v>
      </x:c>
      <x:c r="I39" s="12" t="str">
        <x:v>Integrated</x:v>
      </x:c>
      <x:c r="J39" s="12" t="str">
        <x:v>Not Run</x:v>
      </x:c>
      <x:c r="K39" s="12" t="str"/>
      <x:c r="L39" s="12" t="str">
        <x:v>None</x:v>
      </x:c>
      <x:c r="M39" s="12" t="str">
        <x:v>Not Run</x:v>
      </x:c>
      <x:c r="N39" s="12" t="str"/>
    </x:row>
    <x:row r="40" ht="45" customHeight="1">
      <x:c r="A40" s="12" t="str">
        <x:v>US-039</x:v>
      </x:c>
      <x:c r="B40" s="12" t="str">
        <x:v>Watch Party</x:v>
      </x:c>
      <x:c r="C40" s="12" t="str">
        <x:v>As a fan, I can send match reactions.</x:v>
      </x:c>
      <x:c r="D40" s="12" t="str">
        <x:v>Reaction buttons animate locally and broadcast through watch sync to peers in the same room.</x:v>
      </x:c>
      <x:c r="E40" s="12" t="str">
        <x:v>design/kawaii-app/watch-sync.js: react, bindReactionBar; app.js reaction buttons</x:v>
      </x:c>
      <x:c r="F40" s="12" t="str">
        <x:v>UI code inventoried; requires two-client pass.</x:v>
      </x:c>
      <x:c r="G40" s="12" t="str">
        <x:v>Open two clients, click reactions, verify both clients show reaction and presence count updates.</x:v>
      </x:c>
      <x:c r="H40" s="12" t="str">
        <x:v>P2</x:v>
      </x:c>
      <x:c r="I40" s="12" t="str">
        <x:v>Integrated</x:v>
      </x:c>
      <x:c r="J40" s="12" t="str">
        <x:v>Not Run</x:v>
      </x:c>
      <x:c r="K40" s="12" t="str"/>
      <x:c r="L40" s="12" t="str">
        <x:v>None</x:v>
      </x:c>
      <x:c r="M40" s="12" t="str">
        <x:v>Not Run</x:v>
      </x:c>
      <x:c r="N40" s="12" t="str"/>
    </x:row>
    <x:row r="41" ht="45" customHeight="1">
      <x:c r="A41" s="12" t="str">
        <x:v>US-040</x:v>
      </x:c>
      <x:c r="B41" s="12" t="str">
        <x:v>Peer Transport</x:v>
      </x:c>
      <x:c r="C41" s="12" t="str">
        <x:v>As a player in browser preview, I can use local P2P fallback transport.</x:v>
      </x:c>
      <x:c r="D41" s="12" t="str">
        <x:v>PearCupPeerNet uses BroadcastChannel locally and exposes the same channel contract expected by lobby, watch, and match flows.</x:v>
      </x:c>
      <x:c r="E41" s="12" t="str">
        <x:v>design/kawaii-app/peer-net.js; app/transport-sim.js</x:v>
      </x:c>
      <x:c r="F41" s="12" t="str">
        <x:v>npm run check: transport-sim and Pear Browser compatibility tests passed.</x:v>
      </x:c>
      <x:c r="G41" s="12" t="str">
        <x:v>Open two browser windows, join watch/lobby/game flows, verify messages converge through BroadcastChannel.</x:v>
      </x:c>
      <x:c r="H41" s="12" t="str">
        <x:v>P1</x:v>
      </x:c>
      <x:c r="I41" s="12" t="str">
        <x:v>Integrated</x:v>
      </x:c>
      <x:c r="J41" s="12" t="str">
        <x:v>Not Run</x:v>
      </x:c>
      <x:c r="K41" s="12" t="str"/>
      <x:c r="L41" s="12" t="str">
        <x:v>None</x:v>
      </x:c>
      <x:c r="M41" s="12" t="str">
        <x:v>Not Run</x:v>
      </x:c>
      <x:c r="N41" s="12" t="str"/>
    </x:row>
    <x:row r="42" ht="45" customHeight="1">
      <x:c r="A42" s="12" t="str">
        <x:v>US-041</x:v>
      </x:c>
      <x:c r="B42" s="12" t="str">
        <x:v>Peer Transport</x:v>
      </x:c>
      <x:c r="C42" s="12" t="str">
        <x:v>As a Pear app player, I can use worker-side transport without renderer-only settlement trust.</x:v>
      </x:c>
      <x:c r="D42" s="12" t="str">
        <x:v>Peer and settlement events are worker-owned/replay-bound, and staged package keeps SDK runtime out of renderer-only paths.</x:v>
      </x:c>
      <x:c r="E42" s="12" t="str">
        <x:v>app/pear-worker.cjs; app/worker-bridge-protocol.js; scripts/pear-browser-compat.mjs</x:v>
      </x:c>
      <x:c r="F42" s="12" t="str">
        <x:v>npm run check and audit:pear-browser passed 68 checks.</x:v>
      </x:c>
      <x:c r="G42" s="12" t="str">
        <x:v>Run Pear Browser audit and worker preflight; verify no renderer-only WDK/QVAC settlement paths remain.</x:v>
      </x:c>
      <x:c r="H42" s="12" t="str">
        <x:v>P0</x:v>
      </x:c>
      <x:c r="I42" s="12" t="str">
        <x:v>Integrated</x:v>
      </x:c>
      <x:c r="J42" s="12" t="str">
        <x:v>Passed</x:v>
      </x:c>
      <x:c r="K42" s="12" t="str"/>
      <x:c r="L42" s="12" t="str">
        <x:v>None</x:v>
      </x:c>
      <x:c r="M42" s="12" t="str">
        <x:v>Not Run</x:v>
      </x:c>
      <x:c r="N42" s="12" t="str">
        <x:v>Automated gate passed in current checkpoint.</x:v>
      </x:c>
    </x:row>
    <x:row r="43" ht="45" customHeight="1">
      <x:c r="A43" s="12" t="str">
        <x:v>US-042</x:v>
      </x:c>
      <x:c r="B43" s="12" t="str">
        <x:v>Games Lobby</x:v>
      </x:c>
      <x:c r="C43" s="12" t="str">
        <x:v>As a player, I can see available Penalty Clash options.</x:v>
      </x:c>
      <x:c r="D43" s="12" t="str">
        <x:v>Games lobby renders quick match, paid challenge, friend invite/join, peer list, leaderboard, and audit panels.</x:v>
      </x:c>
      <x:c r="E43" s="12" t="str">
        <x:v>design/kawaii-app/index.html: #gameLobby; app.js: renderGameLobby</x:v>
      </x:c>
      <x:c r="F43" s="12" t="str">
        <x:v>Browser smoke confirmed Games expected panels exist.</x:v>
      </x:c>
      <x:c r="G43" s="12" t="str">
        <x:v>Open Games, verify all lobby actions and panels render at desktop and mobile widths.</x:v>
      </x:c>
      <x:c r="H43" s="12" t="str">
        <x:v>P1</x:v>
      </x:c>
      <x:c r="I43" s="12" t="str">
        <x:v>Integrated</x:v>
      </x:c>
      <x:c r="J43" s="12" t="str">
        <x:v>Not Run</x:v>
      </x:c>
      <x:c r="K43" s="12" t="str"/>
      <x:c r="L43" s="12" t="str">
        <x:v>None</x:v>
      </x:c>
      <x:c r="M43" s="12" t="str">
        <x:v>Not Run</x:v>
      </x:c>
      <x:c r="N43" s="12" t="str"/>
    </x:row>
    <x:row r="44" ht="45" customHeight="1">
      <x:c r="A44" s="12" t="str">
        <x:v>US-043</x:v>
      </x:c>
      <x:c r="B44" s="12" t="str">
        <x:v>Games Lobby</x:v>
      </x:c>
      <x:c r="C44" s="12" t="str">
        <x:v>As a player, I can start a free practice shootout.</x:v>
      </x:c>
      <x:c r="D44" s="12" t="str">
        <x:v>Quick match starts against AI without wallet debit, initializes five-round shootout, and focuses aim controls.</x:v>
      </x:c>
      <x:c r="E44" s="12" t="str">
        <x:v>design/kawaii-app/app.js: startMatch, ensureShootout, renderShootoutHud</x:v>
      </x:c>
      <x:c r="F44" s="12" t="str">
        <x:v>UI code inventoried; requires game interaction pass.</x:v>
      </x:c>
      <x:c r="G44" s="12" t="str">
        <x:v>Click quick match, verify balance unchanged, stage visible, round 1 active, and aim zones clickable.</x:v>
      </x:c>
      <x:c r="H44" s="12" t="str">
        <x:v>P1</x:v>
      </x:c>
      <x:c r="I44" s="12" t="str">
        <x:v>Integrated</x:v>
      </x:c>
      <x:c r="J44" s="12" t="str">
        <x:v>Not Run</x:v>
      </x:c>
      <x:c r="K44" s="12" t="str"/>
      <x:c r="L44" s="12" t="str">
        <x:v>None</x:v>
      </x:c>
      <x:c r="M44" s="12" t="str">
        <x:v>Not Run</x:v>
      </x:c>
      <x:c r="N44" s="12" t="str"/>
    </x:row>
    <x:row r="45" ht="45" customHeight="1">
      <x:c r="A45" s="12" t="str">
        <x:v>US-044</x:v>
      </x:c>
      <x:c r="B45" s="12" t="str">
        <x:v>Games Lobby</x:v>
      </x:c>
      <x:c r="C45" s="12" t="str">
        <x:v>As a player, I can accept or cancel a staked AI challenge.</x:v>
      </x:c>
      <x:c r="D45" s="12" t="str">
        <x:v>Paid challenge opens confirmation, cancel leaves wallet untouched, accept debits stake and starts match.</x:v>
      </x:c>
      <x:c r="E45" s="12" t="str">
        <x:v>design/kawaii-app/app.js: showStakeConfirm, startMatch, debitWallet</x:v>
      </x:c>
      <x:c r="F45" s="12" t="str">
        <x:v>UI code inventoried; requires wallet/game pass.</x:v>
      </x:c>
      <x:c r="G45" s="12" t="str">
        <x:v>Click paid AI challenge, cancel, then accept after funding; verify wallet, match state, and confirmation copy.</x:v>
      </x:c>
      <x:c r="H45" s="12" t="str">
        <x:v>P0</x:v>
      </x:c>
      <x:c r="I45" s="12" t="str">
        <x:v>Integrated</x:v>
      </x:c>
      <x:c r="J45" s="12" t="str">
        <x:v>Not Run</x:v>
      </x:c>
      <x:c r="K45" s="12" t="str"/>
      <x:c r="L45" s="12" t="str">
        <x:v>None</x:v>
      </x:c>
      <x:c r="M45" s="12" t="str">
        <x:v>Not Run</x:v>
      </x:c>
      <x:c r="N45" s="12" t="str"/>
    </x:row>
    <x:row r="46" ht="45" customHeight="1">
      <x:c r="A46" s="12" t="str">
        <x:v>US-045</x:v>
      </x:c>
      <x:c r="B46" s="12" t="str">
        <x:v>Games Lobby</x:v>
      </x:c>
      <x:c r="C46" s="12" t="str">
        <x:v>As a player, I can invite or join a friend match.</x:v>
      </x:c>
      <x:c r="D46" s="12" t="str">
        <x:v>Friend invite creates a room code, join consumes a code, and both clients enter a synchronized peer match.</x:v>
      </x:c>
      <x:c r="E46" s="12" t="str">
        <x:v>design/kawaii-app/peer-match.js; design/kawaii-app/peer-lobby.js; app.js invite/join handlers</x:v>
      </x:c>
      <x:c r="F46" s="12" t="str">
        <x:v>npm run check: P2P game session lifecycle tests passed.</x:v>
      </x:c>
      <x:c r="G46" s="12" t="str">
        <x:v>Open two clients, host friend match, join by code, verify both enter the same game and lifecycle panels update.</x:v>
      </x:c>
      <x:c r="H46" s="12" t="str">
        <x:v>P0</x:v>
      </x:c>
      <x:c r="I46" s="12" t="str">
        <x:v>Integrated</x:v>
      </x:c>
      <x:c r="J46" s="12" t="str">
        <x:v>Not Run</x:v>
      </x:c>
      <x:c r="K46" s="12" t="str"/>
      <x:c r="L46" s="12" t="str">
        <x:v>None</x:v>
      </x:c>
      <x:c r="M46" s="12" t="str">
        <x:v>Not Run</x:v>
      </x:c>
      <x:c r="N46" s="12" t="str"/>
    </x:row>
    <x:row r="47" ht="45" customHeight="1">
      <x:c r="A47" s="12" t="str">
        <x:v>US-046</x:v>
      </x:c>
      <x:c r="B47" s="12" t="str">
        <x:v>Penalty Clash Gameplay</x:v>
      </x:c>
      <x:c r="C47" s="12" t="str">
        <x:v>As a shooter, I can aim and take a penalty kick.</x:v>
      </x:c>
      <x:c r="D47" s="12" t="str">
        <x:v>Aim zones and power meter accept input, lock the chosen zone, and resolve a goal/save/miss/post outcome.</x:v>
      </x:c>
      <x:c r="E47" s="12" t="str">
        <x:v>design/kawaii-app/app.js: AIM_ZONES, ensureShootoutDom, startAimPhase, kickOutcome, applyKickResult</x:v>
      </x:c>
      <x:c r="F47" s="12" t="str">
        <x:v>npm run check: deterministic penalty round tests passed.</x:v>
      </x:c>
      <x:c r="G47" s="12" t="str">
        <x:v>Start match, click each aim zone across retries, verify animation, outcome copy, score, and next round behavior.</x:v>
      </x:c>
      <x:c r="H47" s="12" t="str">
        <x:v>P0</x:v>
      </x:c>
      <x:c r="I47" s="12" t="str">
        <x:v>Integrated</x:v>
      </x:c>
      <x:c r="J47" s="12" t="str">
        <x:v>Not Run</x:v>
      </x:c>
      <x:c r="K47" s="12" t="str"/>
      <x:c r="L47" s="12" t="str">
        <x:v>None</x:v>
      </x:c>
      <x:c r="M47" s="12" t="str">
        <x:v>Not Run</x:v>
      </x:c>
      <x:c r="N47" s="12" t="str"/>
    </x:row>
    <x:row r="48" ht="45" customHeight="1">
      <x:c r="A48" s="12" t="str">
        <x:v>US-047</x:v>
      </x:c>
      <x:c r="B48" s="12" t="str">
        <x:v>Penalty Clash Gameplay</x:v>
      </x:c>
      <x:c r="C48" s="12" t="str">
        <x:v>As a player, I can track the shootout score and round state.</x:v>
      </x:c>
      <x:c r="D48" s="12" t="str">
        <x:v>HUD shows best-of-five dots, current round, player/AI score, and final result without off-by-one errors.</x:v>
      </x:c>
      <x:c r="E48" s="12" t="str">
        <x:v>design/kawaii-app/app.js: SHOOTOUT_TOTAL, renderShootoutHud, endShootout</x:v>
      </x:c>
      <x:c r="F48" s="12" t="str">
        <x:v>UI code inventoried; requires full-match pass.</x:v>
      </x:c>
      <x:c r="G48" s="12" t="str">
        <x:v>Play through five kicks and early decisive cases; verify HUD, dots, round numbers, and final banner.</x:v>
      </x:c>
      <x:c r="H48" s="12" t="str">
        <x:v>P0</x:v>
      </x:c>
      <x:c r="I48" s="12" t="str">
        <x:v>Integrated</x:v>
      </x:c>
      <x:c r="J48" s="12" t="str">
        <x:v>Not Run</x:v>
      </x:c>
      <x:c r="K48" s="12" t="str"/>
      <x:c r="L48" s="12" t="str">
        <x:v>None</x:v>
      </x:c>
      <x:c r="M48" s="12" t="str">
        <x:v>Not Run</x:v>
      </x:c>
      <x:c r="N48" s="12" t="str"/>
    </x:row>
    <x:row r="49" ht="45" customHeight="1">
      <x:c r="A49" s="12" t="str">
        <x:v>US-048</x:v>
      </x:c>
      <x:c r="B49" s="12" t="str">
        <x:v>Penalty Clash Gameplay</x:v>
      </x:c>
      <x:c r="C49" s="12" t="str">
        <x:v>As a player, I can finish a shootout and choose what to do next.</x:v>
      </x:c>
      <x:c r="D49" s="12" t="str">
        <x:v>Final state shows win/loss/draw, prize/refund handling, settlement evidence, Play Again, and Back controls.</x:v>
      </x:c>
      <x:c r="E49" s="12" t="str">
        <x:v>design/kawaii-app/app.js: endShootout, play-again/back handlers</x:v>
      </x:c>
      <x:c r="F49" s="12" t="str">
        <x:v>UI code inventoried; requires full-match pass.</x:v>
      </x:c>
      <x:c r="G49" s="12" t="str">
        <x:v>Finish win, loss, and draw scenarios if possible; verify payout/refund messaging and controls reset safely.</x:v>
      </x:c>
      <x:c r="H49" s="12" t="str">
        <x:v>P0</x:v>
      </x:c>
      <x:c r="I49" s="12" t="str">
        <x:v>Integrated</x:v>
      </x:c>
      <x:c r="J49" s="12" t="str">
        <x:v>Not Run</x:v>
      </x:c>
      <x:c r="K49" s="12" t="str"/>
      <x:c r="L49" s="12" t="str">
        <x:v>None</x:v>
      </x:c>
      <x:c r="M49" s="12" t="str">
        <x:v>Not Run</x:v>
      </x:c>
      <x:c r="N49" s="12" t="str"/>
    </x:row>
    <x:row r="50" ht="45" customHeight="1">
      <x:c r="A50" s="12" t="str">
        <x:v>US-049</x:v>
      </x:c>
      <x:c r="B50" s="12" t="str">
        <x:v>Penalty Clash Gameplay</x:v>
      </x:c>
      <x:c r="C50" s="12" t="str">
        <x:v>As a spectator, I can spectate or start a new shootout safely.</x:v>
      </x:c>
      <x:c r="D50" s="12" t="str">
        <x:v>Spectate/New Shootout controls create/reset simulated match state without corrupting wallet, peer state, or audit panels.</x:v>
      </x:c>
      <x:c r="E50" s="12" t="str">
        <x:v>design/kawaii-app/index.html: #spectateGame; app.js: spectate/new shootout listeners</x:v>
      </x:c>
      <x:c r="F50" s="12" t="str">
        <x:v>UI code inventoried; requires controls pass.</x:v>
      </x:c>
      <x:c r="G50" s="12" t="str">
        <x:v>Use Spectate and New Shootout before, during, and after a match; verify state reset and no stale overlays.</x:v>
      </x:c>
      <x:c r="H50" s="12" t="str">
        <x:v>P2</x:v>
      </x:c>
      <x:c r="I50" s="12" t="str">
        <x:v>Integrated</x:v>
      </x:c>
      <x:c r="J50" s="12" t="str">
        <x:v>Not Run</x:v>
      </x:c>
      <x:c r="K50" s="12" t="str"/>
      <x:c r="L50" s="12" t="str">
        <x:v>None</x:v>
      </x:c>
      <x:c r="M50" s="12" t="str">
        <x:v>Not Run</x:v>
      </x:c>
      <x:c r="N50" s="12" t="str"/>
    </x:row>
    <x:row r="51" ht="45" customHeight="1">
      <x:c r="A51" s="12" t="str">
        <x:v>US-050</x:v>
      </x:c>
      <x:c r="B51" s="12" t="str">
        <x:v>Game Settlement</x:v>
      </x:c>
      <x:c r="C51" s="12" t="str">
        <x:v>As a staked player, my game escrow is resolved through QVAC before WDK payout.</x:v>
      </x:c>
      <x:c r="D51" s="12" t="str">
        <x:v>Worker creates WDK escrow, records commitments/reveals/state hashes, obtains QVAC attestation, releases/refunds via WDK, and records receipt.</x:v>
      </x:c>
      <x:c r="E51" s="12" t="str">
        <x:v>app/worker-sim.js; app/settlement-service.js; design/kawaii-app/app.js: createGameSettlementWorker</x:v>
      </x:c>
      <x:c r="F51" s="12" t="str">
        <x:v>npm run check: trusted game settlement and WDK/QVAC release tests passed.</x:v>
      </x:c>
      <x:c r="G51" s="12" t="str">
        <x:v>Run a staked game to completion, inspect resolver/audit panels, verify escrow, attestation, payout/refund, and receipt fields.</x:v>
      </x:c>
      <x:c r="H51" s="12" t="str">
        <x:v>P0</x:v>
      </x:c>
      <x:c r="I51" s="12" t="str">
        <x:v>Integrated</x:v>
      </x:c>
      <x:c r="J51" s="12" t="str">
        <x:v>Not Run</x:v>
      </x:c>
      <x:c r="K51" s="12" t="str"/>
      <x:c r="L51" s="12" t="str">
        <x:v>None</x:v>
      </x:c>
      <x:c r="M51" s="12" t="str">
        <x:v>Not Run</x:v>
      </x:c>
      <x:c r="N51" s="12" t="str"/>
    </x:row>
    <x:row r="52" ht="45" customHeight="1">
      <x:c r="A52" s="12" t="str">
        <x:v>US-051</x:v>
      </x:c>
      <x:c r="B52" s="12" t="str">
        <x:v>Game Settlement</x:v>
      </x:c>
      <x:c r="C52" s="12" t="str">
        <x:v>As an operator, settlement disputes fail closed.</x:v>
      </x:c>
      <x:c r="D52" s="12" t="str">
        <x:v>Mismatched hashes, forged evidence, wrong winners, missing recipient routes, and invalid QVAC/WDK signatures produce hold/dispute/refund paths instead of payout.</x:v>
      </x:c>
      <x:c r="E52" s="12" t="str">
        <x:v>app/worker-sim.test.js; app/qvac-referee.test.js; app/tether-wdk-bridge.test.js</x:v>
      </x:c>
      <x:c r="F52" s="12" t="str">
        <x:v>npm run check: forged, mismatched, missing evidence, and dispute tests passed.</x:v>
      </x:c>
      <x:c r="G52" s="12" t="str">
        <x:v>Run automated negative tests; manually inspect UI for route-blocked and held settlement messaging where applicable.</x:v>
      </x:c>
      <x:c r="H52" s="12" t="str">
        <x:v>P0</x:v>
      </x:c>
      <x:c r="I52" s="12" t="str">
        <x:v>Integrated</x:v>
      </x:c>
      <x:c r="J52" s="12" t="str">
        <x:v>Passed</x:v>
      </x:c>
      <x:c r="K52" s="12" t="str"/>
      <x:c r="L52" s="12" t="str">
        <x:v>None</x:v>
      </x:c>
      <x:c r="M52" s="12" t="str">
        <x:v>Not Run</x:v>
      </x:c>
      <x:c r="N52" s="12" t="str">
        <x:v>Automated coverage is strong; UI messaging still needs targeted pass.</x:v>
      </x:c>
    </x:row>
    <x:row r="53" ht="45" customHeight="1">
      <x:c r="A53" s="12" t="str">
        <x:v>US-052</x:v>
      </x:c>
      <x:c r="B53" s="12" t="str">
        <x:v>Game Settlement</x:v>
      </x:c>
      <x:c r="C53" s="12" t="str">
        <x:v>As a player, I can see game resolver, sync, and replay evidence.</x:v>
      </x:c>
      <x:c r="D53" s="12" t="str">
        <x:v>Resolver, tether, runtime, QVAC, sync, and replay panels display event counts, topics, state roots, and receipt status.</x:v>
      </x:c>
      <x:c r="E53" s="12" t="str">
        <x:v>design/kawaii-app/index.html: #gameResolver, #tetherPanel, #runtimePanel, #qvacRefPanel, #gameSync, #gameReplay</x:v>
      </x:c>
      <x:c r="F53" s="12" t="str">
        <x:v>Browser smoke confirmed panels exist.</x:v>
      </x:c>
      <x:c r="G53" s="12" t="str">
        <x:v>Start and finish a game; verify each audit panel updates from empty to evidence-rich state.</x:v>
      </x:c>
      <x:c r="H53" s="12" t="str">
        <x:v>P1</x:v>
      </x:c>
      <x:c r="I53" s="12" t="str">
        <x:v>Integrated</x:v>
      </x:c>
      <x:c r="J53" s="12" t="str">
        <x:v>Not Run</x:v>
      </x:c>
      <x:c r="K53" s="12" t="str"/>
      <x:c r="L53" s="12" t="str">
        <x:v>None</x:v>
      </x:c>
      <x:c r="M53" s="12" t="str">
        <x:v>Not Run</x:v>
      </x:c>
      <x:c r="N53" s="12" t="str"/>
    </x:row>
    <x:row r="54" ht="45" customHeight="1">
      <x:c r="A54" s="12" t="str">
        <x:v>US-053</x:v>
      </x:c>
      <x:c r="B54" s="12" t="str">
        <x:v>Peer Match</x:v>
      </x:c>
      <x:c r="C54" s="12" t="str">
        <x:v>As a peer player, game events converge between two clients.</x:v>
      </x:c>
      <x:c r="D54" s="12" t="str">
        <x:v>Signed invites, lifecycle events, choices, reveals, and state hashes replay consistently and reject forged peer events.</x:v>
      </x:c>
      <x:c r="E54" s="12" t="str">
        <x:v>app/worker-sim.js; app/transport-sim.js; design/kawaii-app/peer-match.js</x:v>
      </x:c>
      <x:c r="F54" s="12" t="str">
        <x:v>npm run check: P2P session lifecycle and forged event tests passed.</x:v>
      </x:c>
      <x:c r="G54" s="12" t="str">
        <x:v>Open host and join clients, play several kicks, verify both screens agree and replay panels converge.</x:v>
      </x:c>
      <x:c r="H54" s="12" t="str">
        <x:v>P0</x:v>
      </x:c>
      <x:c r="I54" s="12" t="str">
        <x:v>Integrated</x:v>
      </x:c>
      <x:c r="J54" s="12" t="str">
        <x:v>Not Run</x:v>
      </x:c>
      <x:c r="K54" s="12" t="str"/>
      <x:c r="L54" s="12" t="str">
        <x:v>None</x:v>
      </x:c>
      <x:c r="M54" s="12" t="str">
        <x:v>Not Run</x:v>
      </x:c>
      <x:c r="N54" s="12" t="str"/>
    </x:row>
    <x:row r="55" ht="45" customHeight="1">
      <x:c r="A55" s="12" t="str">
        <x:v>US-054</x:v>
      </x:c>
      <x:c r="B55" s="12" t="str">
        <x:v>Peer Lobby</x:v>
      </x:c>
      <x:c r="C55" s="12" t="str">
        <x:v>As a player, I can discover and challenge peers.</x:v>
      </x:c>
      <x:c r="D55" s="12" t="str">
        <x:v>Lobby join announces presence, lists peers, and challenge buttons start shared game codes through PeerMatch.</x:v>
      </x:c>
      <x:c r="E55" s="12" t="str">
        <x:v>design/kawaii-app/peer-lobby.js; peer-net.js</x:v>
      </x:c>
      <x:c r="F55" s="12" t="str">
        <x:v>UI code inventoried; requires two-client pass.</x:v>
      </x:c>
      <x:c r="G55" s="12" t="str">
        <x:v>Open two clients, verify each appears in the other lobby, challenge peer, and confirm both enter shared match.</x:v>
      </x:c>
      <x:c r="H55" s="12" t="str">
        <x:v>P1</x:v>
      </x:c>
      <x:c r="I55" s="12" t="str">
        <x:v>Integrated</x:v>
      </x:c>
      <x:c r="J55" s="12" t="str">
        <x:v>Not Run</x:v>
      </x:c>
      <x:c r="K55" s="12" t="str"/>
      <x:c r="L55" s="12" t="str">
        <x:v>None</x:v>
      </x:c>
      <x:c r="M55" s="12" t="str">
        <x:v>Not Run</x:v>
      </x:c>
      <x:c r="N55" s="12" t="str"/>
    </x:row>
    <x:row r="56" ht="45" customHeight="1">
      <x:c r="A56" s="12" t="str">
        <x:v>US-055</x:v>
      </x:c>
      <x:c r="B56" s="12" t="str">
        <x:v>Worker Client</x:v>
      </x:c>
      <x:c r="C56" s="12" t="str">
        <x:v>As the app, I use the Pear worker bridge when available and local worker otherwise.</x:v>
      </x:c>
      <x:c r="D56" s="12" t="str">
        <x:v>Auto worker client detects Pear bridge, caches redacted status, and keeps browser demo fallback synchronous.</x:v>
      </x:c>
      <x:c r="E56" s="12" t="str">
        <x:v>app/worker-client.js; app/worker-bridge-protocol.js; app/worker-runtime.js</x:v>
      </x:c>
      <x:c r="F56" s="12" t="str">
        <x:v>npm run check: worker-client and bridge protocol tests passed.</x:v>
      </x:c>
      <x:c r="G56" s="12" t="str">
        <x:v>Run browser preview and Pear bridge harness; verify bridge preference, fallback, and redacted status behavior.</x:v>
      </x:c>
      <x:c r="H56" s="12" t="str">
        <x:v>P0</x:v>
      </x:c>
      <x:c r="I56" s="12" t="str">
        <x:v>Integrated</x:v>
      </x:c>
      <x:c r="J56" s="12" t="str">
        <x:v>Passed</x:v>
      </x:c>
      <x:c r="K56" s="12" t="str"/>
      <x:c r="L56" s="12" t="str">
        <x:v>None</x:v>
      </x:c>
      <x:c r="M56" s="12" t="str">
        <x:v>Not Run</x:v>
      </x:c>
      <x:c r="N56" s="12" t="str">
        <x:v>Automated coverage passed; Pear runtime manual smoke still recommended.</x:v>
      </x:c>
    </x:row>
    <x:row r="57" ht="45" customHeight="1">
      <x:c r="A57" s="12" t="str">
        <x:v>US-056</x:v>
      </x:c>
      <x:c r="B57" s="12" t="str">
        <x:v>Worker Client</x:v>
      </x:c>
      <x:c r="C57" s="12" t="str">
        <x:v>As an operator, worker bridge responses do not leak secrets or full history by default.</x:v>
      </x:c>
      <x:c r="D57" s="12" t="str">
        <x:v>Secrets are redacted, WDK seed is not exposed, and event history is opt-in.</x:v>
      </x:c>
      <x:c r="E57" s="12" t="str">
        <x:v>app/worker-bridge-protocol.js; app/worker-runtime.js; scripts/pear-browser-compat.mjs</x:v>
      </x:c>
      <x:c r="F57" s="12" t="str">
        <x:v>npm run check and Pear Browser audit passed secret/history gates.</x:v>
      </x:c>
      <x:c r="G57" s="12" t="str">
        <x:v>Inspect worker status responses with and without includeEvents; verify seeds/secrets are redacted.</x:v>
      </x:c>
      <x:c r="H57" s="12" t="str">
        <x:v>P0</x:v>
      </x:c>
      <x:c r="I57" s="12" t="str">
        <x:v>Integrated</x:v>
      </x:c>
      <x:c r="J57" s="12" t="str">
        <x:v>Passed</x:v>
      </x:c>
      <x:c r="K57" s="12" t="str"/>
      <x:c r="L57" s="12" t="str">
        <x:v>None</x:v>
      </x:c>
      <x:c r="M57" s="12" t="str">
        <x:v>Not Run</x:v>
      </x:c>
      <x:c r="N57" s="12" t="str"/>
    </x:row>
    <x:row r="58" ht="45" customHeight="1">
      <x:c r="A58" s="12" t="str">
        <x:v>US-057</x:v>
      </x:c>
      <x:c r="B58" s="12" t="str">
        <x:v>Storage and Replay</x:v>
      </x:c>
      <x:c r="C58" s="12" t="str">
        <x:v>As the runtime, I keep app, bracket, watch, and game event streams isolated.</x:v>
      </x:c>
      <x:c r="D58" s="12" t="str">
        <x:v>Storage namespaces prevent cross-contamination and replay reconstructs the correct state for each flow.</x:v>
      </x:c>
      <x:c r="E58" s="12" t="str">
        <x:v>app/storage-sim.js; app/worker-sim.js; design/kawaii-app/storage-sim.js</x:v>
      </x:c>
      <x:c r="F58" s="12" t="str">
        <x:v>npm run check: storage-sim and replay-bound worker tests passed.</x:v>
      </x:c>
      <x:c r="G58" s="12" t="str">
        <x:v>Create profile, bracket, watch, and game events; inspect namespaces/event logs and replay-derived UI panels.</x:v>
      </x:c>
      <x:c r="H58" s="12" t="str">
        <x:v>P0</x:v>
      </x:c>
      <x:c r="I58" s="12" t="str">
        <x:v>Integrated</x:v>
      </x:c>
      <x:c r="J58" s="12" t="str">
        <x:v>Passed</x:v>
      </x:c>
      <x:c r="K58" s="12" t="str"/>
      <x:c r="L58" s="12" t="str">
        <x:v>None</x:v>
      </x:c>
      <x:c r="M58" s="12" t="str">
        <x:v>Not Run</x:v>
      </x:c>
      <x:c r="N58" s="12" t="str">
        <x:v>Manual UI inspection remains to connect panels to replay evidence.</x:v>
      </x:c>
    </x:row>
    <x:row r="59" ht="45" customHeight="1">
      <x:c r="A59" s="12" t="str">
        <x:v>US-058</x:v>
      </x:c>
      <x:c r="B59" s="12" t="str">
        <x:v>Receipts</x:v>
      </x:c>
      <x:c r="C59" s="12" t="str">
        <x:v>As a player, I can trust settlement receipts.</x:v>
      </x:c>
      <x:c r="D59" s="12" t="str">
        <x:v>Receipts bind event refs, actors, QVAC attestation, WDK output, and replayed source data.</x:v>
      </x:c>
      <x:c r="E59" s="12" t="str">
        <x:v>app/settlement-receipts.js; app/trusted-path-preflight.js</x:v>
      </x:c>
      <x:c r="F59" s="12" t="str">
        <x:v>npm run check: settlement receipt verification and trusted-path tests passed.</x:v>
      </x:c>
      <x:c r="G59" s="12" t="str">
        <x:v>Generate game and bracket receipts; verify receipt panel fields and independent verification result.</x:v>
      </x:c>
      <x:c r="H59" s="12" t="str">
        <x:v>P0</x:v>
      </x:c>
      <x:c r="I59" s="12" t="str">
        <x:v>Integrated</x:v>
      </x:c>
      <x:c r="J59" s="12" t="str">
        <x:v>Passed</x:v>
      </x:c>
      <x:c r="K59" s="12" t="str"/>
      <x:c r="L59" s="12" t="str">
        <x:v>None</x:v>
      </x:c>
      <x:c r="M59" s="12" t="str">
        <x:v>Not Run</x:v>
      </x:c>
      <x:c r="N59" s="12" t="str"/>
    </x:row>
    <x:row r="60" ht="45" customHeight="1">
      <x:c r="A60" s="12" t="str">
        <x:v>US-059</x:v>
      </x:c>
      <x:c r="B60" s="12" t="str">
        <x:v>QVAC Referee</x:v>
      </x:c>
      <x:c r="C60" s="12" t="str">
        <x:v>As an operator, QVAC attestations require signed referee identity and verified evidence.</x:v>
      </x:c>
      <x:c r="D60" s="12" t="str">
        <x:v>Round and pool attestations fail closed unless the review is verified, non-disputed, source-bound, and signed by the referee actor.</x:v>
      </x:c>
      <x:c r="E60" s="12" t="str">
        <x:v>app/qvac-referee.js; app/qvac-referee.test.js</x:v>
      </x:c>
      <x:c r="F60" s="12" t="str">
        <x:v>npm run check: QVAC attestation verification tests passed.</x:v>
      </x:c>
      <x:c r="G60" s="12" t="str">
        <x:v>Run automated tests and inspect UI audit panels for referee signer and attestation status.</x:v>
      </x:c>
      <x:c r="H60" s="12" t="str">
        <x:v>P0</x:v>
      </x:c>
      <x:c r="I60" s="12" t="str">
        <x:v>Integrated</x:v>
      </x:c>
      <x:c r="J60" s="12" t="str">
        <x:v>Passed</x:v>
      </x:c>
      <x:c r="K60" s="12" t="str"/>
      <x:c r="L60" s="12" t="str">
        <x:v>None</x:v>
      </x:c>
      <x:c r="M60" s="12" t="str">
        <x:v>Not Run</x:v>
      </x:c>
      <x:c r="N60" s="12" t="str"/>
    </x:row>
    <x:row r="61" ht="45" customHeight="1">
      <x:c r="A61" s="12" t="str">
        <x:v>US-060</x:v>
      </x:c>
      <x:c r="B61" s="12" t="str">
        <x:v>QVAC Commentary</x:v>
      </x:c>
      <x:c r="C61" s="12" t="str">
        <x:v>As a fan, QVAC commentary is grounded in replayed match events.</x:v>
      </x:c>
      <x:c r="D61" s="12" t="str">
        <x:v>Commentary and translations summarize signed/source events and reject peer commentary without QVAC/source grounding.</x:v>
      </x:c>
      <x:c r="E61" s="12" t="str">
        <x:v>app/qvac-referee.js; app/worker-sim.js; design/kawaii-app/app.js commentary feed</x:v>
      </x:c>
      <x:c r="F61" s="12" t="str">
        <x:v>npm run check: QVAC commentary and peer commentary rejection tests passed.</x:v>
      </x:c>
      <x:c r="G61" s="12" t="str">
        <x:v>Watch feed updates, inspect generated commentary language changes, and verify no invented facts appear after source changes.</x:v>
      </x:c>
      <x:c r="H61" s="12" t="str">
        <x:v>P1</x:v>
      </x:c>
      <x:c r="I61" s="12" t="str">
        <x:v>Integrated</x:v>
      </x:c>
      <x:c r="J61" s="12" t="str">
        <x:v>Not Run</x:v>
      </x:c>
      <x:c r="K61" s="12" t="str"/>
      <x:c r="L61" s="12" t="str">
        <x:v>None</x:v>
      </x:c>
      <x:c r="M61" s="12" t="str">
        <x:v>Not Run</x:v>
      </x:c>
      <x:c r="N61" s="12" t="str"/>
    </x:row>
    <x:row r="62" ht="45" customHeight="1">
      <x:c r="A62" s="12" t="str">
        <x:v>US-061</x:v>
      </x:c>
      <x:c r="B62" s="12" t="str">
        <x:v>Tether WDK</x:v>
      </x:c>
      <x:c r="C62" s="12" t="str">
        <x:v>As a staked player, WDK entry and escrow operations bind to signed participants.</x:v>
      </x:c>
      <x:c r="D62" s="12" t="str">
        <x:v>Entry intents, confirmations, pending checks, refunds, game escrows, releases, and payouts are signed and replay-verifiable.</x:v>
      </x:c>
      <x:c r="E62" s="12" t="str">
        <x:v>app/tether-wdk-bridge.js; app/worker-sim.js; app/settlement-service.js</x:v>
      </x:c>
      <x:c r="F62" s="12" t="str">
        <x:v>npm run check: WDK bridge, entry, escrow, payout, refund tests passed.</x:v>
      </x:c>
      <x:c r="G62" s="12" t="str">
        <x:v>Run automated suite and inspect UI WDK panels after pool entry and game settlement.</x:v>
      </x:c>
      <x:c r="H62" s="12" t="str">
        <x:v>P0</x:v>
      </x:c>
      <x:c r="I62" s="12" t="str">
        <x:v>Integrated</x:v>
      </x:c>
      <x:c r="J62" s="12" t="str">
        <x:v>Passed</x:v>
      </x:c>
      <x:c r="K62" s="12" t="str"/>
      <x:c r="L62" s="12" t="str">
        <x:v>None</x:v>
      </x:c>
      <x:c r="M62" s="12" t="str">
        <x:v>Not Run</x:v>
      </x:c>
      <x:c r="N62" s="12" t="str"/>
    </x:row>
    <x:row r="63" ht="45" customHeight="1">
      <x:c r="A63" s="12" t="str">
        <x:v>US-062</x:v>
      </x:c>
      <x:c r="B63" s="12" t="str">
        <x:v>SDK Runtime</x:v>
      </x:c>
      <x:c r="C63" s="12" t="str">
        <x:v>As an operator, package SDK adapters can be injected without changing UI flow code.</x:v>
      </x:c>
      <x:c r="D63" s="12" t="str">
        <x:v>Runtime package adapters wrap SDK-like QVAC and WDK clients while preserving tested demo adapter behavior.</x:v>
      </x:c>
      <x:c r="E63" s="12" t="str">
        <x:v>app/sdk-runtime.js; app/runtime-config.js; app/adapters.js</x:v>
      </x:c>
      <x:c r="F63" s="12" t="str">
        <x:v>npm run check: sdk-runtime, adapters, runtime-config tests passed.</x:v>
      </x:c>
      <x:c r="G63" s="12" t="str">
        <x:v>Inject SDK-like clients, run preflight, and verify app panels report SDK-backed mode without renderer settlement shortcuts.</x:v>
      </x:c>
      <x:c r="H63" s="12" t="str">
        <x:v>P0</x:v>
      </x:c>
      <x:c r="I63" s="12" t="str">
        <x:v>Integrated</x:v>
      </x:c>
      <x:c r="J63" s="12" t="str">
        <x:v>Passed</x:v>
      </x:c>
      <x:c r="K63" s="12" t="str"/>
      <x:c r="L63" s="12" t="str">
        <x:v>None</x:v>
      </x:c>
      <x:c r="M63" s="12" t="str">
        <x:v>Not Run</x:v>
      </x:c>
      <x:c r="N63" s="12" t="str"/>
    </x:row>
    <x:row r="64" ht="45" customHeight="1">
      <x:c r="A64" s="12" t="str">
        <x:v>US-063</x:v>
      </x:c>
      <x:c r="B64" s="12" t="str">
        <x:v>Pear Browser Compatibility</x:v>
      </x:c>
      <x:c r="C64" s="12" t="str">
        <x:v>As a release owner, I can prove the staged renderer is Pear Browser compatible.</x:v>
      </x:c>
      <x:c r="D64" s="12" t="str">
        <x:v>Audit rejects external assets, renderer SDK runtime leakage, missing stage includes, untrusted settlement paths, and missing evidence checks.</x:v>
      </x:c>
      <x:c r="E64" s="12" t="str">
        <x:v>scripts/pear-browser-compat.mjs; app/pear-browser-compat.js; design/kawaii-app/pear-browser-compat.js</x:v>
      </x:c>
      <x:c r="F64" s="12" t="str">
        <x:v>npm run audit:pear-browser -- --require-pass passed: 68 checks, 0 blocking, 0 warnings.</x:v>
      </x:c>
      <x:c r="G64" s="12" t="str">
        <x:v>Run the audit command after every integration and verify 0 blocking and 0 warnings.</x:v>
      </x:c>
      <x:c r="H64" s="12" t="str">
        <x:v>P0</x:v>
      </x:c>
      <x:c r="I64" s="12" t="str">
        <x:v>Integrated</x:v>
      </x:c>
      <x:c r="J64" s="12" t="str">
        <x:v>Passed</x:v>
      </x:c>
      <x:c r="K64" s="12" t="str"/>
      <x:c r="L64" s="12" t="str">
        <x:v>None</x:v>
      </x:c>
      <x:c r="M64" s="12" t="str">
        <x:v>Not Run</x:v>
      </x:c>
      <x:c r="N64" s="12" t="str"/>
    </x:row>
    <x:row r="65" ht="45" customHeight="1">
      <x:c r="A65" s="12" t="str">
        <x:v>US-064</x:v>
      </x:c>
      <x:c r="B65" s="12" t="str">
        <x:v>Package Staging</x:v>
      </x:c>
      <x:c r="C65" s="12" t="str">
        <x:v>As a release owner, staged design assets remain self-contained.</x:v>
      </x:c>
      <x:c r="D65" s="12" t="str">
        <x:v>Kawaii app uses local scripts/styles/assets and does not depend on network or unstaged runtime files.</x:v>
      </x:c>
      <x:c r="E65" s="12" t="str">
        <x:v>design/kawaii-app/index.html; design/kawaii-app/RELEASE.md; scripts/pear-browser-compat.mjs</x:v>
      </x:c>
      <x:c r="F65" s="12" t="str">
        <x:v>Pear Browser audit and syntax sweep passed.</x:v>
      </x:c>
      <x:c r="G65" s="12" t="str">
        <x:v>Review script/link tags, run audit, and open app offline/local to verify all assets render.</x:v>
      </x:c>
      <x:c r="H65" s="12" t="str">
        <x:v>P0</x:v>
      </x:c>
      <x:c r="I65" s="12" t="str">
        <x:v>Integrated</x:v>
      </x:c>
      <x:c r="J65" s="12" t="str">
        <x:v>Passed (Smoke)</x:v>
      </x:c>
      <x:c r="K65" s="12" t="str"/>
      <x:c r="L65" s="12" t="str">
        <x:v>None</x:v>
      </x:c>
      <x:c r="M65" s="12" t="str">
        <x:v>Not Run</x:v>
      </x:c>
      <x:c r="N65" s="12" t="str"/>
    </x:row>
    <x:row r="66" ht="45" customHeight="1">
      <x:c r="A66" s="12" t="str">
        <x:v>US-065</x:v>
      </x:c>
      <x:c r="B66" s="12" t="str">
        <x:v>Responsive UX</x:v>
      </x:c>
      <x:c r="C66" s="12" t="str">
        <x:v>As a mobile player, I can use the full app without overlapping controls.</x:v>
      </x:c>
      <x:c r="D66" s="12" t="str">
        <x:v>Topbar, dashboard tabs, bracket board, watch room, and game controls remain readable and tappable on narrow screens.</x:v>
      </x:c>
      <x:c r="E66" s="12" t="str">
        <x:v>design/kawaii-app/styles.css; app.js resize/scheduleBracketConnectors</x:v>
      </x:c>
      <x:c r="F66" s="12" t="str">
        <x:v>Not covered by current automated pass.</x:v>
      </x:c>
      <x:c r="G66" s="12" t="str">
        <x:v>Test at mobile and desktop widths; verify text fit, no overlap, and bracket connectors recalculate.</x:v>
      </x:c>
      <x:c r="H66" s="12" t="str">
        <x:v>P1</x:v>
      </x:c>
      <x:c r="I66" s="12" t="str">
        <x:v>Integrated</x:v>
      </x:c>
      <x:c r="J66" s="12" t="str">
        <x:v>Not Run</x:v>
      </x:c>
      <x:c r="K66" s="12" t="str"/>
      <x:c r="L66" s="12" t="str">
        <x:v>None</x:v>
      </x:c>
      <x:c r="M66" s="12" t="str">
        <x:v>Not Run</x:v>
      </x:c>
      <x:c r="N66" s="12" t="str">
        <x:v>This is a likely UX-risk area for the next test loop.</x:v>
      </x:c>
    </x:row>
    <x:row r="67" ht="45" customHeight="1">
      <x:c r="A67" s="12" t="str">
        <x:v>US-066</x:v>
      </x:c>
      <x:c r="B67" s="12" t="str">
        <x:v>Accessibility and Feedback</x:v>
      </x:c>
      <x:c r="C67" s="12" t="str">
        <x:v>As a keyboard or screen-reader user, I can understand and operate primary controls.</x:v>
      </x:c>
      <x:c r="D67" s="12" t="str">
        <x:v>Buttons have labels, status changes use readable text, controls are focusable, and error/toast copy is understandable.</x:v>
      </x:c>
      <x:c r="E67" s="12" t="str">
        <x:v>design/kawaii-app/index.html aria labels; app.js showToast/status copy</x:v>
      </x:c>
      <x:c r="F67" s="12" t="str">
        <x:v>Not covered by current automated pass.</x:v>
      </x:c>
      <x:c r="G67" s="12" t="str">
        <x:v>Keyboard-tab primary flows, inspect names for icon buttons, and verify toast/status text after errors and successes.</x:v>
      </x:c>
      <x:c r="H67" s="12" t="str">
        <x:v>P2</x:v>
      </x:c>
      <x:c r="I67" s="12" t="str">
        <x:v>Integrated</x:v>
      </x:c>
      <x:c r="J67" s="12" t="str">
        <x:v>Not Run</x:v>
      </x:c>
      <x:c r="K67" s="12" t="str"/>
      <x:c r="L67" s="12" t="str">
        <x:v>None</x:v>
      </x:c>
      <x:c r="M67" s="12" t="str">
        <x:v>Not Run</x:v>
      </x:c>
      <x:c r="N67" s="12" t="str"/>
    </x:row>
    <x:row r="68" ht="45" customHeight="1">
      <x:c r="A68" s="12" t="str">
        <x:v>US-067</x:v>
      </x:c>
      <x:c r="B68" s="12" t="str">
        <x:v>Error Handling</x:v>
      </x:c>
      <x:c r="C68" s="12" t="str">
        <x:v>As a player, failures are explained without trapping me.</x:v>
      </x:c>
      <x:c r="D68" s="12" t="str">
        <x:v>Boot, API, wallet, settlement, screen-share, and peer failures show actionable messages and allow retry/recovery.</x:v>
      </x:c>
      <x:c r="E68" s="12" t="str">
        <x:v>design/kawaii-app/app.js: error hook, showToast, API/live settings, settlement guards</x:v>
      </x:c>
      <x:c r="F68" s="12" t="str">
        <x:v>Browser smoke found no errors; negative states require manual pass.</x:v>
      </x:c>
      <x:c r="G68" s="12" t="str">
        <x:v>Trigger bad API, insufficient funds, incomplete bracket, unsupported screen share, and settlement route block; verify recovery.</x:v>
      </x:c>
      <x:c r="H68" s="12" t="str">
        <x:v>P1</x:v>
      </x:c>
      <x:c r="I68" s="12" t="str">
        <x:v>Integrated</x:v>
      </x:c>
      <x:c r="J68" s="12" t="str">
        <x:v>Not Run</x:v>
      </x:c>
      <x:c r="K68" s="12" t="str"/>
      <x:c r="L68" s="12" t="str">
        <x:v>None</x:v>
      </x:c>
      <x:c r="M68" s="12" t="str">
        <x:v>Not Run</x:v>
      </x:c>
      <x:c r="N68" s="12" t="str"/>
    </x:row>
    <x:row r="69" ht="45" customHeight="1">
      <x:c r="A69" s="12" t="str">
        <x:v>US-068</x:v>
      </x:c>
      <x:c r="B69" s="12" t="str">
        <x:v>Security and Integrity</x:v>
      </x:c>
      <x:c r="C69" s="12" t="str">
        <x:v>As an operator, forged or orphaned peer settlement artifacts cannot affect payout state.</x:v>
      </x:c>
      <x:c r="D69" s="12" t="str">
        <x:v>Worker rejects forged envelopes, orphaned payouts/releases/receipts, wrong signer bindings, and missing replay dependencies.</x:v>
      </x:c>
      <x:c r="E69" s="12" t="str">
        <x:v>app/worker-sim.test.js; app/settlement-receipts.test.js; scripts/pear-browser-compat.mjs</x:v>
      </x:c>
      <x:c r="F69" s="12" t="str">
        <x:v>npm run check includes forged/orphaned/resealed peer artifact rejection tests.</x:v>
      </x:c>
      <x:c r="G69" s="12" t="str">
        <x:v>Run automated suite; manually inspect audit panels after peer merge scenarios if available.</x:v>
      </x:c>
      <x:c r="H69" s="12" t="str">
        <x:v>P0</x:v>
      </x:c>
      <x:c r="I69" s="12" t="str">
        <x:v>Integrated</x:v>
      </x:c>
      <x:c r="J69" s="12" t="str">
        <x:v>Passed</x:v>
      </x:c>
      <x:c r="K69" s="12" t="str"/>
      <x:c r="L69" s="12" t="str">
        <x:v>None</x:v>
      </x:c>
      <x:c r="M69" s="12" t="str">
        <x:v>Not Run</x:v>
      </x:c>
      <x:c r="N69" s="12" t="str"/>
    </x:row>
    <x:row r="70" ht="45" customHeight="1">
      <x:c r="A70" s="12" t="str">
        <x:v>US-069</x:v>
      </x:c>
      <x:c r="B70" s="12" t="str">
        <x:v>Launch Readiness</x:v>
      </x:c>
      <x:c r="C70" s="12" t="str">
        <x:v>As an operator, I can run preflight checks before launch.</x:v>
      </x:c>
      <x:c r="D70" s="12" t="str">
        <x:v>Preflight scripts report trusted path readiness, SDK/worker readiness, live config, and launch audit status.</x:v>
      </x:c>
      <x:c r="E70" s="12" t="str">
        <x:v>scripts/preflight-sdk.mjs; scripts/preflight-worker-runtime.mjs; scripts/preflight-trusted-path.mjs; scripts/live-readiness.mjs</x:v>
      </x:c>
      <x:c r="F70" s="12" t="str">
        <x:v>npm run check validates preflight/audit modules with node --check and tests where available.</x:v>
      </x:c>
      <x:c r="G70" s="12" t="str">
        <x:v>Run all preflight scripts for demo and live config; verify output is actionable and does not claim readiness falsely.</x:v>
      </x:c>
      <x:c r="H70" s="12" t="str">
        <x:v>P0</x:v>
      </x:c>
      <x:c r="I70" s="12" t="str">
        <x:v>Integrated</x:v>
      </x:c>
      <x:c r="J70" s="12" t="str">
        <x:v>Not Run</x:v>
      </x:c>
      <x:c r="K70" s="12" t="str"/>
      <x:c r="L70" s="12" t="str">
        <x:v>None</x:v>
      </x:c>
      <x:c r="M70" s="12" t="str">
        <x:v>Not Run</x:v>
      </x:c>
      <x:c r="N70" s="12" t="str"/>
    </x:row>
    <x:row r="71" ht="45" customHeight="1">
      <x:c r="A71" s="12" t="str">
        <x:v>US-070</x:v>
      </x:c>
      <x:c r="B71" s="12" t="str">
        <x:v>Release Baseline</x:v>
      </x:c>
      <x:c r="C71" s="12" t="str">
        <x:v>As the team, we can prove the integrated branch is clean and tested.</x:v>
      </x:c>
      <x:c r="D71" s="12" t="str">
        <x:v>Worktree is clean after integration commit, repo check passes, Kawaii syntax passes, and browser smoke passes.</x:v>
      </x:c>
      <x:c r="E71" s="12" t="str">
        <x:v>git status; npm run check; design/kawaii-app syntax sweep; in-app browser at 127.0.0.1:4175</x:v>
      </x:c>
      <x:c r="F71" s="12" t="str">
        <x:v>2026-07-02 checkpoint: main ahead 1, clean; npm run check passed; Kawaii syntax passed; browser smoke passed.</x:v>
      </x:c>
      <x:c r="G71" s="12" t="str">
        <x:v>Run git status, npm run check, Kawaii syntax sweep, and browser top-nav smoke after any fix.</x:v>
      </x:c>
      <x:c r="H71" s="12" t="str">
        <x:v>P0</x:v>
      </x:c>
      <x:c r="I71" s="12" t="str">
        <x:v>Integrated</x:v>
      </x:c>
      <x:c r="J71" s="12" t="str">
        <x:v>Passed</x:v>
      </x:c>
      <x:c r="K71" s="12" t="str"/>
      <x:c r="L71" s="12" t="str">
        <x:v>None</x:v>
      </x:c>
      <x:c r="M71" s="12" t="str">
        <x:v>Not Run</x:v>
      </x:c>
      <x:c r="N71" s="12" t="str">
        <x:v>Use this row as the release gate before/after the full user-story test loop.</x:v>
      </x:c>
    </x:row>
  </x:sheetData>
  <x:conditionalFormatting sqref="H2:M200">
    <x:cfRule type="containsText" dxfId="0" priority="1" operator="containsText" text="Passed"/>
    <x:cfRule type="containsText" dxfId="1" priority="2" operator="containsText" text="Failed"/>
    <x:cfRule type="containsText" dxfId="2" priority="3" operator="containsText" text="Needs Fix"/>
    <x:cfRule type="containsText" dxfId="3" priority="4" operator="containsText" text="Not Run"/>
    <x:cfRule type="containsText" dxfId="4" priority="5" operator="containsText" text="Blocked"/>
  </x:conditionalFormatting>
  <x:dataValidations count="5">
    <x:dataValidation type="list" sqref="H2:H200">
      <x:formula1>"P0,P1,P2,P3"</x:formula1>
    </x:dataValidation>
    <x:dataValidation type="list" sqref="I2:I200">
      <x:formula1>"Integrated,Ready for Test,Needs Fix,Fixed,Deferred,Blocked"</x:formula1>
    </x:dataValidation>
    <x:dataValidation type="list" sqref="J2:J200">
      <x:formula1>"Not Run,Passed,Passed (Smoke),Failed,Blocked,Partial"</x:formula1>
    </x:dataValidation>
    <x:dataValidation type="list" sqref="L2:L200">
      <x:formula1>"None,Open,In Progress,Fixed,Retest Needed,Closed"</x:formula1>
    </x:dataValidation>
    <x:dataValidation type="list" sqref="M2:M200">
      <x:formula1>"Not Run,Passed,Failed,Blocked"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992fe9580246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8.890000343322754" hidden="0" customWidth="1"/>
    <x:col min="3" max="3" width="13.329999923706055" hidden="0" customWidth="1"/>
    <x:col min="4" max="4" width="8" hidden="0" customWidth="1"/>
    <x:col min="5" max="5" width="12.220000267028809" hidden="0" customWidth="1"/>
    <x:col min="6" max="6" width="12.220000267028809" hidden="0" customWidth="1"/>
    <x:col min="7" max="7" width="28.889999389648438" hidden="0" customWidth="1"/>
    <x:col min="8" max="8" width="33.33000183105469" hidden="0" customWidth="1"/>
    <x:col min="9" max="9" width="28.889999389648438" hidden="0" customWidth="1"/>
    <x:col min="10" max="10" width="28.889999389648438" hidden="0" customWidth="1"/>
    <x:col min="11" max="11" width="12.220000267028809" hidden="0" customWidth="1"/>
    <x:col min="12" max="12" width="11.109999656677246" hidden="0" customWidth="1"/>
    <x:col min="13" max="13" width="12.220000267028809" hidden="0" customWidth="1"/>
    <x:col min="14" max="14" width="24.440000534057617" hidden="0" customWidth="1"/>
  </x:cols>
  <x:sheetData>
    <x:row r="1" ht="25.5" customHeight="1">
      <x:c r="A1" s="18" t="str">
        <x:v>Defect ID</x:v>
      </x:c>
      <x:c r="B1" s="19" t="str">
        <x:v>Story ID</x:v>
      </x:c>
      <x:c r="C1" s="19" t="str">
        <x:v>Area</x:v>
      </x:c>
      <x:c r="D1" s="19" t="str">
        <x:v>Severity</x:v>
      </x:c>
      <x:c r="E1" s="19" t="str">
        <x:v>Status</x:v>
      </x:c>
      <x:c r="F1" s="19" t="str">
        <x:v>Found In</x:v>
      </x:c>
      <x:c r="G1" s="19" t="str">
        <x:v>Summary</x:v>
      </x:c>
      <x:c r="H1" s="19" t="str">
        <x:v>Steps</x:v>
      </x:c>
      <x:c r="I1" s="19" t="str">
        <x:v>Expected</x:v>
      </x:c>
      <x:c r="J1" s="19" t="str">
        <x:v>Actual</x:v>
      </x:c>
      <x:c r="K1" s="19" t="str">
        <x:v>Owner</x:v>
      </x:c>
      <x:c r="L1" s="19" t="str">
        <x:v>Fix Commit</x:v>
      </x:c>
      <x:c r="M1" s="19" t="str">
        <x:v>Retest Status</x:v>
      </x:c>
      <x:c r="N1" s="20" t="str">
        <x:v>Notes</x:v>
      </x:c>
    </x:row>
    <x:row r="2" ht="42" customHeight="1">
      <x:c r="A2" s="12" t="str"/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</x:row>
    <x:row r="3" ht="42" customHeight="1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</x:row>
    <x:row r="4" ht="42" customHeight="1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</x:row>
    <x:row r="5" ht="42" customHeight="1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</x:row>
    <x:row r="6" ht="42" customHeight="1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</x:row>
    <x:row r="7" ht="42" customHeight="1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</x:row>
    <x:row r="8" ht="42" customHeight="1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</x:row>
    <x:row r="9" ht="42" customHeight="1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</x:row>
    <x:row r="10" ht="42" customHeight="1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</x:row>
    <x:row r="11" ht="42" customHeight="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</x:row>
    <x:row r="12" ht="42" customHeight="1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</x:row>
    <x:row r="13" ht="42" customHeight="1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</x:row>
    <x:row r="14" ht="42" customHeight="1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</x:row>
    <x:row r="15" ht="42" customHeight="1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</x:row>
    <x:row r="16" ht="42" customHeight="1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</x:row>
    <x:row r="17" ht="42" customHeight="1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</x:row>
    <x:row r="18" ht="42" customHeight="1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</x:row>
    <x:row r="19" ht="42" customHeight="1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</x:row>
    <x:row r="20" ht="42" customHeight="1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</x:row>
    <x:row r="21" ht="42" customHeight="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</x:row>
    <x:row r="22" ht="42" customHeight="1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</x:row>
    <x:row r="23" ht="42" customHeight="1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12" t="str"/>
    </x:row>
    <x:row r="24" ht="42" customHeight="1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</x:row>
    <x:row r="25" ht="42" customHeight="1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12" t="str"/>
    </x:row>
    <x:row r="26" ht="42" customHeight="1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</x:row>
    <x:row r="27" ht="42" customHeight="1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</x:row>
    <x:row r="28" ht="42" customHeight="1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</x:row>
    <x:row r="29" ht="42" customHeight="1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</x:row>
    <x:row r="30" ht="42" customHeight="1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</x:row>
    <x:row r="31" ht="42" customHeight="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</x:row>
    <x:row r="32" ht="42" customHeight="1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</x:row>
    <x:row r="33" ht="42" customHeight="1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/>
      <x:c r="N33" s="12" t="str"/>
    </x:row>
    <x:row r="34" ht="42" customHeight="1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</x:row>
    <x:row r="35" ht="42" customHeight="1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/>
      <x:c r="N35" s="12" t="str"/>
    </x:row>
    <x:row r="36" ht="42" customHeight="1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/>
      <x:c r="N36" s="12" t="str"/>
    </x:row>
    <x:row r="37" ht="42" customHeight="1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/>
      <x:c r="N37" s="12" t="str"/>
    </x:row>
    <x:row r="38" ht="42" customHeight="1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/>
      <x:c r="N38" s="12" t="str"/>
    </x:row>
    <x:row r="39" ht="42" customHeight="1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</x:row>
    <x:row r="40" ht="42" customHeight="1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</x:row>
    <x:row r="41" ht="42" customHeight="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</x:row>
  </x:sheetData>
  <x:conditionalFormatting sqref="D2:M200">
    <x:cfRule type="containsText" dxfId="5" priority="1" operator="containsText" text="Passed"/>
    <x:cfRule type="containsText" dxfId="6" priority="2" operator="containsText" text="Failed"/>
    <x:cfRule type="containsText" dxfId="7" priority="3" operator="containsText" text="Needs Fix"/>
    <x:cfRule type="containsText" dxfId="8" priority="4" operator="containsText" text="Not Run"/>
    <x:cfRule type="containsText" dxfId="9" priority="5" operator="containsText" text="Blocked"/>
  </x:conditionalFormatting>
  <x:dataValidations count="3">
    <x:dataValidation type="list" sqref="D2:D200">
      <x:formula1>"S0,S1,S2,S3"</x:formula1>
    </x:dataValidation>
    <x:dataValidation type="list" sqref="E2:E200">
      <x:formula1>"Open,In Progress,Fixed,Retest Needed,Closed,Info"</x:formula1>
    </x:dataValidation>
    <x:dataValidation type="list" sqref="M2:M200">
      <x:formula1>"Not Run,Passed,Failed,Blocked"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ac2e969a314c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0.4399995803833" hidden="0" customWidth="1"/>
    <x:col min="3" max="3" width="10" hidden="0" customWidth="1"/>
    <x:col min="4" max="4" width="21.110000610351562" hidden="0" customWidth="1"/>
    <x:col min="5" max="5" width="37.779998779296875" hidden="0" customWidth="1"/>
    <x:col min="6" max="6" width="9.779999732971191" hidden="0" customWidth="1"/>
    <x:col min="7" max="7" width="33.33000183105469" hidden="0" customWidth="1"/>
    <x:col min="8" max="8" width="28.889999389648438" hidden="0" customWidth="1"/>
    <x:col min="9" max="9" width="24.440000534057617" hidden="0" customWidth="1"/>
  </x:cols>
  <x:sheetData>
    <x:row r="1" ht="25.5" customHeight="1">
      <x:c r="A1" s="26" t="str">
        <x:v>Run ID</x:v>
      </x:c>
      <x:c r="B1" s="27" t="str">
        <x:v>Date</x:v>
      </x:c>
      <x:c r="C1" s="27" t="str">
        <x:v>Tester</x:v>
      </x:c>
      <x:c r="D1" s="27" t="str">
        <x:v>Scope</x:v>
      </x:c>
      <x:c r="E1" s="27" t="str">
        <x:v>Command / Scenario</x:v>
      </x:c>
      <x:c r="F1" s="27" t="str">
        <x:v>Result</x:v>
      </x:c>
      <x:c r="G1" s="27" t="str">
        <x:v>Evidence</x:v>
      </x:c>
      <x:c r="H1" s="27" t="str">
        <x:v>Stories Covered</x:v>
      </x:c>
      <x:c r="I1" s="28" t="str">
        <x:v>Notes</x:v>
      </x:c>
    </x:row>
    <x:row r="2" ht="43.5" customHeight="1">
      <x:c r="A2" s="12" t="str">
        <x:v>TR-001</x:v>
      </x:c>
      <x:c r="B2" s="29" t="n">
        <x:v>46205</x:v>
      </x:c>
      <x:c r="C2" s="12" t="str">
        <x:v>Codex</x:v>
      </x:c>
      <x:c r="D2" s="12" t="str">
        <x:v>Runtime and settlement modules</x:v>
      </x:c>
      <x:c r="E2" s="12" t="str">
        <x:v>npm run check</x:v>
      </x:c>
      <x:c r="F2" s="12" t="str">
        <x:v>Passed</x:v>
      </x:c>
      <x:c r="G2" s="12" t="str">
        <x:v>282/282 node tests passed; node --check passed for app and scripts; Pear audit included.</x:v>
      </x:c>
      <x:c r="H2" s="12" t="str">
        <x:v>US-004, US-005, US-023, US-030, US-031, US-041, US-050 to US-063, US-068 to US-070</x:v>
      </x:c>
      <x:c r="I2" s="12" t="str">
        <x:v>Executed after merge commit 84044b3.</x:v>
      </x:c>
    </x:row>
    <x:row r="3" ht="43.5" customHeight="1">
      <x:c r="A3" s="12" t="str">
        <x:v>TR-002</x:v>
      </x:c>
      <x:c r="B3" s="29" t="n">
        <x:v>46205</x:v>
      </x:c>
      <x:c r="C3" s="12" t="str">
        <x:v>Codex</x:v>
      </x:c>
      <x:c r="D3" s="12" t="str">
        <x:v>Pear Browser compatibility gate</x:v>
      </x:c>
      <x:c r="E3" s="12" t="str">
        <x:v>npm run audit:pear-browser -- --require-pass</x:v>
      </x:c>
      <x:c r="F3" s="12" t="str">
        <x:v>Passed</x:v>
      </x:c>
      <x:c r="G3" s="12" t="str">
        <x:v>68 passed, 0 blocking, 0 warnings.</x:v>
      </x:c>
      <x:c r="H3" s="12" t="str">
        <x:v>US-041, US-063, US-064, US-070</x:v>
      </x:c>
      <x:c r="I3" s="12" t="str">
        <x:v>Also executed as part of npm run check.</x:v>
      </x:c>
    </x:row>
    <x:row r="4" ht="43.5" customHeight="1">
      <x:c r="A4" s="12" t="str">
        <x:v>TR-003</x:v>
      </x:c>
      <x:c r="B4" s="29" t="n">
        <x:v>46205</x:v>
      </x:c>
      <x:c r="C4" s="12" t="str">
        <x:v>Codex</x:v>
      </x:c>
      <x:c r="D4" s="12" t="str">
        <x:v>Kawaii staged bundle syntax</x:v>
      </x:c>
      <x:c r="E4" s="12" t="str">
        <x:v>find design/kawaii-app -maxdepth 1 -type f ( -name '*.js' -o -name '*.cjs' ) -exec node --check {} +</x:v>
      </x:c>
      <x:c r="F4" s="12" t="str">
        <x:v>Passed</x:v>
      </x:c>
      <x:c r="G4" s="12" t="str">
        <x:v>All staged Kawaii JS/CJS files parsed successfully.</x:v>
      </x:c>
      <x:c r="H4" s="12" t="str">
        <x:v>US-001, US-006, US-064, US-070</x:v>
      </x:c>
      <x:c r="I4" s="12" t="str"/>
    </x:row>
    <x:row r="5" ht="43.5" customHeight="1">
      <x:c r="A5" s="12" t="str">
        <x:v>TR-004</x:v>
      </x:c>
      <x:c r="B5" s="29" t="n">
        <x:v>46205</x:v>
      </x:c>
      <x:c r="C5" s="12" t="str">
        <x:v>Codex</x:v>
      </x:c>
      <x:c r="D5" s="12" t="str">
        <x:v>In-app browser smoke</x:v>
      </x:c>
      <x:c r="E5" s="12" t="str">
        <x:v>Reload http://127.0.0.1:4175/ and click top-nav Profile/Home/Bracket/Watch/Games</x:v>
      </x:c>
      <x:c r="F5" s="12" t="str">
        <x:v>Passed</x:v>
      </x:c>
      <x:c r="G5" s="12" t="str">
        <x:v>All top-nav buttons were unique, all screens activated, expected panels existed, no boot banner, no console errors.</x:v>
      </x:c>
      <x:c r="H5" s="12" t="str">
        <x:v>US-001, US-002, US-006, US-017, US-022, US-032, US-042, US-052, US-070</x:v>
      </x:c>
      <x:c r="I5" s="12" t="str">
        <x:v>Server: python3 -m http.server 4175 --bind 127.0.0.1 --directory design/kawaii-app.</x:v>
      </x:c>
    </x:row>
  </x:sheetData>
  <x:conditionalFormatting sqref="F2:F120">
    <x:cfRule type="containsText" dxfId="10" priority="1" operator="containsText" text="Passed"/>
    <x:cfRule type="containsText" dxfId="11" priority="2" operator="containsText" text="Failed"/>
    <x:cfRule type="containsText" dxfId="12" priority="3" operator="containsText" text="Needs Fix"/>
    <x:cfRule type="containsText" dxfId="13" priority="4" operator="containsText" text="Not Run"/>
    <x:cfRule type="containsText" dxfId="14" priority="5" operator="containsText" text="Blocked"/>
  </x:conditionalFormatting>
  <x:dataValidations count="1">
    <x:dataValidation type="list" sqref="F2:F120">
      <x:formula1>"Passed,Failed,Blocked,Partial"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c8637dede843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31.110000610351562" hidden="0" customWidth="1"/>
    <x:col min="3" max="3" width="33.33000183105469" hidden="0" customWidth="1"/>
    <x:col min="4" max="4" width="28.889999389648438" hidden="0" customWidth="1"/>
    <x:col min="5" max="5" width="28.889999389648438" hidden="0" customWidth="1"/>
  </x:cols>
  <x:sheetData>
    <x:row r="1" ht="25.5" customHeight="1">
      <x:c r="A1" s="35" t="str">
        <x:v>Area</x:v>
      </x:c>
      <x:c r="B1" s="36" t="str">
        <x:v>Primary Source</x:v>
      </x:c>
      <x:c r="C1" s="36" t="str">
        <x:v>Runtime / UI Surface</x:v>
      </x:c>
      <x:c r="D1" s="36" t="str">
        <x:v>Coverage Evidence</x:v>
      </x:c>
      <x:c r="E1" s="37" t="str">
        <x:v>Open Manual Focus</x:v>
      </x:c>
    </x:row>
    <x:row r="2" ht="43.5" customHeight="1">
      <x:c r="A2" s="12" t="str">
        <x:v>Boot and Navigation</x:v>
      </x:c>
      <x:c r="B2" s="12" t="str">
        <x:v>design/kawaii-app/index.html; design/kawaii-app/app.js</x:v>
      </x:c>
      <x:c r="C2" s="12" t="str">
        <x:v>Shell, nav, state boot, runtime module loading</x:v>
      </x:c>
      <x:c r="D2" s="12" t="str">
        <x:v>Browser smoke; node syntax</x:v>
      </x:c>
      <x:c r="E2" s="12" t="str">
        <x:v>Persistence and negative boot states</x:v>
      </x:c>
    </x:row>
    <x:row r="3" ht="43.5" customHeight="1">
      <x:c r="A3" s="12" t="str">
        <x:v>Profile</x:v>
      </x:c>
      <x:c r="B3" s="12" t="str">
        <x:v>design/kawaii-app/app.js: renderProfile, renderTeams, avatar helpers</x:v>
      </x:c>
      <x:c r="C3" s="12" t="str">
        <x:v>Username, team, avatar, profile chip</x:v>
      </x:c>
      <x:c r="D3" s="12" t="str">
        <x:v>Inventoried from code</x:v>
      </x:c>
      <x:c r="E3" s="12" t="str">
        <x:v>Full profile save/reload pass</x:v>
      </x:c>
    </x:row>
    <x:row r="4" ht="43.5" customHeight="1">
      <x:c r="A4" s="12" t="str">
        <x:v>Wallet</x:v>
      </x:c>
      <x:c r="B4" s="12" t="str">
        <x:v>design/kawaii-app/app.js: wallet helpers</x:v>
      </x:c>
      <x:c r="C4" s="12" t="str">
        <x:v>Balance, funding, payouts, insufficient funds</x:v>
      </x:c>
      <x:c r="D4" s="12" t="str">
        <x:v>Inventoried from code</x:v>
      </x:c>
      <x:c r="E4" s="12" t="str">
        <x:v>Funding/debit/payout scenarios</x:v>
      </x:c>
    </x:row>
    <x:row r="5" ht="43.5" customHeight="1">
      <x:c r="A5" s="12" t="str">
        <x:v>Home</x:v>
      </x:c>
      <x:c r="B5" s="12" t="str">
        <x:v>design/kawaii-app/app.js: renderHomeHero, renderHomeDashboard</x:v>
      </x:c>
      <x:c r="C5" s="12" t="str">
        <x:v>Hero, live tabs, pools, fixture rail, leaders</x:v>
      </x:c>
      <x:c r="D5" s="12" t="str">
        <x:v>Browser smoke for containers</x:v>
      </x:c>
      <x:c r="E5" s="12" t="str">
        <x:v>All tab content and responsive scan</x:v>
      </x:c>
    </x:row>
    <x:row r="6" ht="43.5" customHeight="1">
      <x:c r="A6" s="12" t="str">
        <x:v>Bracket Pools</x:v>
      </x:c>
      <x:c r="B6" s="12" t="str">
        <x:v>design/kawaii-app/app.js: pool and bracket functions</x:v>
      </x:c>
      <x:c r="C6" s="12" t="str">
        <x:v>Pool entry, picks, submissions, WDK/QVAC audit</x:v>
      </x:c>
      <x:c r="D6" s="12" t="str">
        <x:v>Runtime tests for worker settlement</x:v>
      </x:c>
      <x:c r="E6" s="12" t="str">
        <x:v>Manual pick/reset/submit/audit pass</x:v>
      </x:c>
    </x:row>
    <x:row r="7" ht="43.5" customHeight="1">
      <x:c r="A7" s="12" t="str">
        <x:v>Watch Party</x:v>
      </x:c>
      <x:c r="B7" s="12" t="str">
        <x:v>design/kawaii-app/app.js; watch-sync.js; peer-net.js</x:v>
      </x:c>
      <x:c r="C7" s="12" t="str">
        <x:v>TV surface, feed, commentary, chat, voice, share, reactions</x:v>
      </x:c>
      <x:c r="D7" s="12" t="str">
        <x:v>Worker social state tests</x:v>
      </x:c>
      <x:c r="E7" s="12" t="str">
        <x:v>Two-client sync and screen-share pass</x:v>
      </x:c>
    </x:row>
    <x:row r="8" ht="43.5" customHeight="1">
      <x:c r="A8" s="12" t="str">
        <x:v>Penalty Clash</x:v>
      </x:c>
      <x:c r="B8" s="12" t="str">
        <x:v>design/kawaii-app/app.js; peer-match.js; peer-lobby.js</x:v>
      </x:c>
      <x:c r="C8" s="12" t="str">
        <x:v>Lobby, AI match, friend match, aim grid, shootout HUD</x:v>
      </x:c>
      <x:c r="D8" s="12" t="str">
        <x:v>Worker/P2P game tests</x:v>
      </x:c>
      <x:c r="E8" s="12" t="str">
        <x:v>Full gameplay and two-client pass</x:v>
      </x:c>
    </x:row>
    <x:row r="9" ht="43.5" customHeight="1">
      <x:c r="A9" s="12" t="str">
        <x:v>Settlement</x:v>
      </x:c>
      <x:c r="B9" s="12" t="str">
        <x:v>app/worker-sim.js; settlement-service.js; settlement-receipts.js</x:v>
      </x:c>
      <x:c r="C9" s="12" t="str">
        <x:v>Escrow, QVAC, WDK, receipts, disputes, replay</x:v>
      </x:c>
      <x:c r="D9" s="12" t="str">
        <x:v>282 passing tests</x:v>
      </x:c>
      <x:c r="E9" s="12" t="str">
        <x:v>UI audit panel evidence pass</x:v>
      </x:c>
    </x:row>
    <x:row r="10" ht="43.5" customHeight="1">
      <x:c r="A10" s="12" t="str">
        <x:v>QVAC</x:v>
      </x:c>
      <x:c r="B10" s="12" t="str">
        <x:v>app/qvac-referee.js; sdk-runtime.js</x:v>
      </x:c>
      <x:c r="C10" s="12" t="str">
        <x:v>Referee attestation and commentary</x:v>
      </x:c>
      <x:c r="D10" s="12" t="str">
        <x:v>QVAC tests and Pear audit</x:v>
      </x:c>
      <x:c r="E10" s="12" t="str">
        <x:v>Live commentary and UI signer display</x:v>
      </x:c>
    </x:row>
    <x:row r="11" ht="43.5" customHeight="1">
      <x:c r="A11" s="12" t="str">
        <x:v>Tether WDK</x:v>
      </x:c>
      <x:c r="B11" s="12" t="str">
        <x:v>app/tether-wdk-bridge.js; worker-sim.js</x:v>
      </x:c>
      <x:c r="C11" s="12" t="str">
        <x:v>Entry intents, escrows, payouts, refunds</x:v>
      </x:c>
      <x:c r="D11" s="12" t="str">
        <x:v>WDK bridge and worker tests</x:v>
      </x:c>
      <x:c r="E11" s="12" t="str">
        <x:v>Manual wallet/audit verification</x:v>
      </x:c>
    </x:row>
    <x:row r="12" ht="43.5" customHeight="1">
      <x:c r="A12" s="12" t="str">
        <x:v>Peer/Worker Runtime</x:v>
      </x:c>
      <x:c r="B12" s="12" t="str">
        <x:v>app/worker-client.js; worker-runtime.js; worker-bridge-protocol.js</x:v>
      </x:c>
      <x:c r="C12" s="12" t="str">
        <x:v>Bridge detection, redaction, replay, Pear worker</x:v>
      </x:c>
      <x:c r="D12" s="12" t="str">
        <x:v>Worker client/bridge tests and Pear audit</x:v>
      </x:c>
      <x:c r="E12" s="12" t="str">
        <x:v>Pear runtime smoke</x:v>
      </x:c>
    </x:row>
    <x:row r="13" ht="43.5" customHeight="1">
      <x:c r="A13" s="12" t="str">
        <x:v>Release Baseline</x:v>
      </x:c>
      <x:c r="B13" s="12" t="str">
        <x:v>package.json scripts; scripts/pear-browser-compat.mjs</x:v>
      </x:c>
      <x:c r="C13" s="12" t="str">
        <x:v>npm run check, audit, syntax, browser smoke</x:v>
      </x:c>
      <x:c r="D13" s="12" t="str">
        <x:v>All passed on 2026-07-02</x:v>
      </x:c>
      <x:c r="E13" s="12" t="str">
        <x:v>Repeat after every fix</x:v>
      </x:c>
    </x:row>
  </x:sheetData>
  <x:pageMargins left="0.7" right="0.7" top="0.75" bottom="0.75" header="0.3" footer="0.3"/>
  <x:tableParts count="1">
    <x:tablePart xmlns:r="http://schemas.openxmlformats.org/officeDocument/2006/relationships" r:id="R9ade7177cf9d4815"/>
  </x:tableParts>
</x:worksheet>
</file>